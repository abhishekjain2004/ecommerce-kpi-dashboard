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chi\Downloads\"/>
    </mc:Choice>
  </mc:AlternateContent>
  <xr:revisionPtr revIDLastSave="0" documentId="13_ncr:1_{1AC7808F-3866-4F95-8C2A-DDED8197EEF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" sheetId="1" r:id="rId1"/>
    <sheet name="Project_Questions" sheetId="4" r:id="rId2"/>
    <sheet name="KPI_Dashboard" sheetId="2" r:id="rId3"/>
    <sheet name="Visual_Analysis" sheetId="3" r:id="rId4"/>
    <sheet name="Pivot_MonthGender" sheetId="5" r:id="rId5"/>
    <sheet name="Chart_Data" sheetId="6" r:id="rId6"/>
  </sheets>
  <definedNames>
    <definedName name="_xlnm._FilterDatabase" localSheetId="0" hidden="1">data!$A$1:$S$501</definedName>
    <definedName name="co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X146" i="1" s="1"/>
  <c r="W147" i="1"/>
  <c r="W148" i="1"/>
  <c r="W149" i="1"/>
  <c r="W150" i="1"/>
  <c r="X150" i="1" s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X305" i="1" s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X126" i="1"/>
  <c r="W2" i="1"/>
  <c r="I8" i="2" a="1"/>
  <c r="I8" i="2" s="1"/>
  <c r="I6" i="2"/>
  <c r="D12" i="2"/>
  <c r="D19" i="2"/>
  <c r="D8" i="2" a="1"/>
  <c r="D8" i="2" s="1"/>
  <c r="D6" i="2"/>
  <c r="D21" i="2"/>
  <c r="D17" i="2"/>
  <c r="AA501" i="1"/>
  <c r="Y501" i="1"/>
  <c r="U501" i="1"/>
  <c r="V501" i="1" s="1"/>
  <c r="T501" i="1"/>
  <c r="Z501" i="1" s="1"/>
  <c r="AA500" i="1"/>
  <c r="Y500" i="1"/>
  <c r="U500" i="1"/>
  <c r="V500" i="1" s="1"/>
  <c r="T500" i="1"/>
  <c r="Z500" i="1" s="1"/>
  <c r="AA499" i="1"/>
  <c r="Y499" i="1"/>
  <c r="U499" i="1"/>
  <c r="V499" i="1" s="1"/>
  <c r="T499" i="1"/>
  <c r="Z499" i="1" s="1"/>
  <c r="AA498" i="1"/>
  <c r="Y498" i="1"/>
  <c r="U498" i="1"/>
  <c r="V498" i="1" s="1"/>
  <c r="T498" i="1"/>
  <c r="Z498" i="1" s="1"/>
  <c r="AA497" i="1"/>
  <c r="Y497" i="1"/>
  <c r="U497" i="1"/>
  <c r="V497" i="1" s="1"/>
  <c r="T497" i="1"/>
  <c r="Z497" i="1" s="1"/>
  <c r="AA496" i="1"/>
  <c r="Y496" i="1"/>
  <c r="U496" i="1"/>
  <c r="V496" i="1" s="1"/>
  <c r="T496" i="1"/>
  <c r="Z496" i="1" s="1"/>
  <c r="AA495" i="1"/>
  <c r="Y495" i="1"/>
  <c r="U495" i="1"/>
  <c r="V495" i="1" s="1"/>
  <c r="T495" i="1"/>
  <c r="Z495" i="1" s="1"/>
  <c r="AA494" i="1"/>
  <c r="Y494" i="1"/>
  <c r="U494" i="1"/>
  <c r="V494" i="1" s="1"/>
  <c r="T494" i="1"/>
  <c r="Z494" i="1" s="1"/>
  <c r="AA493" i="1"/>
  <c r="Y493" i="1"/>
  <c r="U493" i="1"/>
  <c r="V493" i="1" s="1"/>
  <c r="T493" i="1"/>
  <c r="Z493" i="1" s="1"/>
  <c r="AA492" i="1"/>
  <c r="Y492" i="1"/>
  <c r="U492" i="1"/>
  <c r="V492" i="1" s="1"/>
  <c r="X492" i="1" s="1"/>
  <c r="T492" i="1"/>
  <c r="Z492" i="1" s="1"/>
  <c r="AA491" i="1"/>
  <c r="Y491" i="1"/>
  <c r="U491" i="1"/>
  <c r="V491" i="1" s="1"/>
  <c r="T491" i="1"/>
  <c r="Z491" i="1" s="1"/>
  <c r="AA490" i="1"/>
  <c r="Y490" i="1"/>
  <c r="U490" i="1"/>
  <c r="V490" i="1" s="1"/>
  <c r="T490" i="1"/>
  <c r="Z490" i="1" s="1"/>
  <c r="AA489" i="1"/>
  <c r="Y489" i="1"/>
  <c r="U489" i="1"/>
  <c r="V489" i="1" s="1"/>
  <c r="T489" i="1"/>
  <c r="Z489" i="1" s="1"/>
  <c r="AA488" i="1"/>
  <c r="Y488" i="1"/>
  <c r="U488" i="1"/>
  <c r="V488" i="1" s="1"/>
  <c r="T488" i="1"/>
  <c r="Z488" i="1" s="1"/>
  <c r="AA487" i="1"/>
  <c r="Y487" i="1"/>
  <c r="U487" i="1"/>
  <c r="V487" i="1" s="1"/>
  <c r="T487" i="1"/>
  <c r="Z487" i="1" s="1"/>
  <c r="AA486" i="1"/>
  <c r="Y486" i="1"/>
  <c r="U486" i="1"/>
  <c r="V486" i="1" s="1"/>
  <c r="T486" i="1"/>
  <c r="Z486" i="1" s="1"/>
  <c r="AA485" i="1"/>
  <c r="Y485" i="1"/>
  <c r="U485" i="1"/>
  <c r="V485" i="1" s="1"/>
  <c r="T485" i="1"/>
  <c r="Z485" i="1" s="1"/>
  <c r="AA484" i="1"/>
  <c r="Y484" i="1"/>
  <c r="U484" i="1"/>
  <c r="V484" i="1" s="1"/>
  <c r="T484" i="1"/>
  <c r="Z484" i="1" s="1"/>
  <c r="AA483" i="1"/>
  <c r="Y483" i="1"/>
  <c r="U483" i="1"/>
  <c r="V483" i="1" s="1"/>
  <c r="T483" i="1"/>
  <c r="Z483" i="1" s="1"/>
  <c r="AA482" i="1"/>
  <c r="Y482" i="1"/>
  <c r="U482" i="1"/>
  <c r="V482" i="1" s="1"/>
  <c r="T482" i="1"/>
  <c r="Z482" i="1" s="1"/>
  <c r="AA481" i="1"/>
  <c r="Y481" i="1"/>
  <c r="U481" i="1"/>
  <c r="V481" i="1" s="1"/>
  <c r="T481" i="1"/>
  <c r="Z481" i="1" s="1"/>
  <c r="AA480" i="1"/>
  <c r="Y480" i="1"/>
  <c r="U480" i="1"/>
  <c r="V480" i="1" s="1"/>
  <c r="T480" i="1"/>
  <c r="Z480" i="1" s="1"/>
  <c r="AA479" i="1"/>
  <c r="Y479" i="1"/>
  <c r="U479" i="1"/>
  <c r="V479" i="1" s="1"/>
  <c r="X479" i="1" s="1"/>
  <c r="T479" i="1"/>
  <c r="Z479" i="1" s="1"/>
  <c r="AA478" i="1"/>
  <c r="Y478" i="1"/>
  <c r="U478" i="1"/>
  <c r="V478" i="1" s="1"/>
  <c r="T478" i="1"/>
  <c r="Z478" i="1" s="1"/>
  <c r="AA477" i="1"/>
  <c r="Y477" i="1"/>
  <c r="U477" i="1"/>
  <c r="V477" i="1" s="1"/>
  <c r="T477" i="1"/>
  <c r="Z477" i="1" s="1"/>
  <c r="AA476" i="1"/>
  <c r="Y476" i="1"/>
  <c r="U476" i="1"/>
  <c r="V476" i="1" s="1"/>
  <c r="T476" i="1"/>
  <c r="Z476" i="1" s="1"/>
  <c r="AA475" i="1"/>
  <c r="Y475" i="1"/>
  <c r="U475" i="1"/>
  <c r="V475" i="1" s="1"/>
  <c r="T475" i="1"/>
  <c r="Z475" i="1" s="1"/>
  <c r="AA474" i="1"/>
  <c r="Y474" i="1"/>
  <c r="U474" i="1"/>
  <c r="V474" i="1" s="1"/>
  <c r="T474" i="1"/>
  <c r="Z474" i="1" s="1"/>
  <c r="AA473" i="1"/>
  <c r="Y473" i="1"/>
  <c r="U473" i="1"/>
  <c r="V473" i="1" s="1"/>
  <c r="T473" i="1"/>
  <c r="Z473" i="1" s="1"/>
  <c r="AA472" i="1"/>
  <c r="Y472" i="1"/>
  <c r="U472" i="1"/>
  <c r="V472" i="1" s="1"/>
  <c r="T472" i="1"/>
  <c r="Z472" i="1" s="1"/>
  <c r="AA471" i="1"/>
  <c r="Y471" i="1"/>
  <c r="X471" i="1"/>
  <c r="U471" i="1"/>
  <c r="V471" i="1" s="1"/>
  <c r="T471" i="1"/>
  <c r="Z471" i="1" s="1"/>
  <c r="AA470" i="1"/>
  <c r="Y470" i="1"/>
  <c r="U470" i="1"/>
  <c r="V470" i="1" s="1"/>
  <c r="T470" i="1"/>
  <c r="Z470" i="1" s="1"/>
  <c r="AA469" i="1"/>
  <c r="Y469" i="1"/>
  <c r="U469" i="1"/>
  <c r="V469" i="1" s="1"/>
  <c r="T469" i="1"/>
  <c r="Z469" i="1" s="1"/>
  <c r="AA468" i="1"/>
  <c r="Y468" i="1"/>
  <c r="U468" i="1"/>
  <c r="V468" i="1" s="1"/>
  <c r="X468" i="1" s="1"/>
  <c r="T468" i="1"/>
  <c r="Z468" i="1" s="1"/>
  <c r="AA467" i="1"/>
  <c r="Y467" i="1"/>
  <c r="U467" i="1"/>
  <c r="V467" i="1" s="1"/>
  <c r="X467" i="1" s="1"/>
  <c r="T467" i="1"/>
  <c r="Z467" i="1" s="1"/>
  <c r="AA466" i="1"/>
  <c r="Y466" i="1"/>
  <c r="U466" i="1"/>
  <c r="V466" i="1" s="1"/>
  <c r="T466" i="1"/>
  <c r="Z466" i="1" s="1"/>
  <c r="AA465" i="1"/>
  <c r="Y465" i="1"/>
  <c r="U465" i="1"/>
  <c r="V465" i="1" s="1"/>
  <c r="X465" i="1" s="1"/>
  <c r="T465" i="1"/>
  <c r="Z465" i="1" s="1"/>
  <c r="AA464" i="1"/>
  <c r="Y464" i="1"/>
  <c r="U464" i="1"/>
  <c r="V464" i="1" s="1"/>
  <c r="X464" i="1" s="1"/>
  <c r="T464" i="1"/>
  <c r="Z464" i="1" s="1"/>
  <c r="AA463" i="1"/>
  <c r="Y463" i="1"/>
  <c r="U463" i="1"/>
  <c r="V463" i="1" s="1"/>
  <c r="X463" i="1" s="1"/>
  <c r="T463" i="1"/>
  <c r="Z463" i="1" s="1"/>
  <c r="AA462" i="1"/>
  <c r="Y462" i="1"/>
  <c r="U462" i="1"/>
  <c r="V462" i="1" s="1"/>
  <c r="T462" i="1"/>
  <c r="Z462" i="1" s="1"/>
  <c r="AA461" i="1"/>
  <c r="Y461" i="1"/>
  <c r="U461" i="1"/>
  <c r="V461" i="1" s="1"/>
  <c r="T461" i="1"/>
  <c r="Z461" i="1" s="1"/>
  <c r="AA460" i="1"/>
  <c r="Y460" i="1"/>
  <c r="U460" i="1"/>
  <c r="V460" i="1" s="1"/>
  <c r="T460" i="1"/>
  <c r="Z460" i="1" s="1"/>
  <c r="AA459" i="1"/>
  <c r="Y459" i="1"/>
  <c r="U459" i="1"/>
  <c r="V459" i="1" s="1"/>
  <c r="T459" i="1"/>
  <c r="Z459" i="1" s="1"/>
  <c r="AA458" i="1"/>
  <c r="Y458" i="1"/>
  <c r="U458" i="1"/>
  <c r="V458" i="1" s="1"/>
  <c r="T458" i="1"/>
  <c r="Z458" i="1" s="1"/>
  <c r="AA457" i="1"/>
  <c r="Y457" i="1"/>
  <c r="U457" i="1"/>
  <c r="V457" i="1" s="1"/>
  <c r="T457" i="1"/>
  <c r="Z457" i="1" s="1"/>
  <c r="AA456" i="1"/>
  <c r="Y456" i="1"/>
  <c r="V456" i="1"/>
  <c r="U456" i="1"/>
  <c r="T456" i="1"/>
  <c r="Z456" i="1" s="1"/>
  <c r="AA455" i="1"/>
  <c r="Y455" i="1"/>
  <c r="U455" i="1"/>
  <c r="V455" i="1" s="1"/>
  <c r="T455" i="1"/>
  <c r="Z455" i="1" s="1"/>
  <c r="AA454" i="1"/>
  <c r="Y454" i="1"/>
  <c r="V454" i="1"/>
  <c r="U454" i="1"/>
  <c r="T454" i="1"/>
  <c r="Z454" i="1" s="1"/>
  <c r="AA453" i="1"/>
  <c r="Y453" i="1"/>
  <c r="U453" i="1"/>
  <c r="V453" i="1" s="1"/>
  <c r="T453" i="1"/>
  <c r="Z453" i="1" s="1"/>
  <c r="AA452" i="1"/>
  <c r="Y452" i="1"/>
  <c r="U452" i="1"/>
  <c r="V452" i="1" s="1"/>
  <c r="T452" i="1"/>
  <c r="Z452" i="1" s="1"/>
  <c r="AA451" i="1"/>
  <c r="Y451" i="1"/>
  <c r="U451" i="1"/>
  <c r="V451" i="1" s="1"/>
  <c r="T451" i="1"/>
  <c r="Z451" i="1" s="1"/>
  <c r="AA450" i="1"/>
  <c r="Y450" i="1"/>
  <c r="U450" i="1"/>
  <c r="V450" i="1" s="1"/>
  <c r="T450" i="1"/>
  <c r="Z450" i="1" s="1"/>
  <c r="AA449" i="1"/>
  <c r="Y449" i="1"/>
  <c r="V449" i="1"/>
  <c r="U449" i="1"/>
  <c r="T449" i="1"/>
  <c r="Z449" i="1" s="1"/>
  <c r="AA448" i="1"/>
  <c r="Z448" i="1"/>
  <c r="Y448" i="1"/>
  <c r="V448" i="1"/>
  <c r="X448" i="1" s="1"/>
  <c r="U448" i="1"/>
  <c r="T448" i="1"/>
  <c r="AA447" i="1"/>
  <c r="Y447" i="1"/>
  <c r="U447" i="1"/>
  <c r="V447" i="1" s="1"/>
  <c r="T447" i="1"/>
  <c r="Z447" i="1" s="1"/>
  <c r="AA446" i="1"/>
  <c r="Y446" i="1"/>
  <c r="U446" i="1"/>
  <c r="V446" i="1" s="1"/>
  <c r="T446" i="1"/>
  <c r="Z446" i="1" s="1"/>
  <c r="AA445" i="1"/>
  <c r="Y445" i="1"/>
  <c r="U445" i="1"/>
  <c r="V445" i="1" s="1"/>
  <c r="T445" i="1"/>
  <c r="Z445" i="1" s="1"/>
  <c r="AA444" i="1"/>
  <c r="Y444" i="1"/>
  <c r="U444" i="1"/>
  <c r="V444" i="1" s="1"/>
  <c r="X444" i="1" s="1"/>
  <c r="T444" i="1"/>
  <c r="Z444" i="1" s="1"/>
  <c r="AA443" i="1"/>
  <c r="Y443" i="1"/>
  <c r="U443" i="1"/>
  <c r="V443" i="1" s="1"/>
  <c r="T443" i="1"/>
  <c r="Z443" i="1" s="1"/>
  <c r="AA442" i="1"/>
  <c r="Y442" i="1"/>
  <c r="V442" i="1"/>
  <c r="U442" i="1"/>
  <c r="T442" i="1"/>
  <c r="Z442" i="1" s="1"/>
  <c r="AA441" i="1"/>
  <c r="Z441" i="1"/>
  <c r="Y441" i="1"/>
  <c r="V441" i="1"/>
  <c r="U441" i="1"/>
  <c r="T441" i="1"/>
  <c r="AA440" i="1"/>
  <c r="Z440" i="1"/>
  <c r="Y440" i="1"/>
  <c r="U440" i="1"/>
  <c r="V440" i="1" s="1"/>
  <c r="X440" i="1" s="1"/>
  <c r="T440" i="1"/>
  <c r="AA439" i="1"/>
  <c r="Y439" i="1"/>
  <c r="U439" i="1"/>
  <c r="V439" i="1" s="1"/>
  <c r="T439" i="1"/>
  <c r="Z439" i="1" s="1"/>
  <c r="AA438" i="1"/>
  <c r="Y438" i="1"/>
  <c r="U438" i="1"/>
  <c r="V438" i="1" s="1"/>
  <c r="T438" i="1"/>
  <c r="Z438" i="1" s="1"/>
  <c r="AA437" i="1"/>
  <c r="Y437" i="1"/>
  <c r="U437" i="1"/>
  <c r="V437" i="1" s="1"/>
  <c r="T437" i="1"/>
  <c r="Z437" i="1" s="1"/>
  <c r="AA436" i="1"/>
  <c r="Y436" i="1"/>
  <c r="U436" i="1"/>
  <c r="V436" i="1" s="1"/>
  <c r="T436" i="1"/>
  <c r="Z436" i="1" s="1"/>
  <c r="AA435" i="1"/>
  <c r="Y435" i="1"/>
  <c r="U435" i="1"/>
  <c r="V435" i="1" s="1"/>
  <c r="T435" i="1"/>
  <c r="Z435" i="1" s="1"/>
  <c r="AA434" i="1"/>
  <c r="Y434" i="1"/>
  <c r="V434" i="1"/>
  <c r="U434" i="1"/>
  <c r="T434" i="1"/>
  <c r="Z434" i="1" s="1"/>
  <c r="AA433" i="1"/>
  <c r="Z433" i="1"/>
  <c r="Y433" i="1"/>
  <c r="V433" i="1"/>
  <c r="U433" i="1"/>
  <c r="T433" i="1"/>
  <c r="AA432" i="1"/>
  <c r="Y432" i="1"/>
  <c r="U432" i="1"/>
  <c r="V432" i="1" s="1"/>
  <c r="X432" i="1" s="1"/>
  <c r="T432" i="1"/>
  <c r="Z432" i="1" s="1"/>
  <c r="AA431" i="1"/>
  <c r="Y431" i="1"/>
  <c r="U431" i="1"/>
  <c r="V431" i="1" s="1"/>
  <c r="T431" i="1"/>
  <c r="Z431" i="1" s="1"/>
  <c r="AA430" i="1"/>
  <c r="Y430" i="1"/>
  <c r="V430" i="1"/>
  <c r="U430" i="1"/>
  <c r="T430" i="1"/>
  <c r="Z430" i="1" s="1"/>
  <c r="AA429" i="1"/>
  <c r="Y429" i="1"/>
  <c r="U429" i="1"/>
  <c r="V429" i="1" s="1"/>
  <c r="T429" i="1"/>
  <c r="Z429" i="1" s="1"/>
  <c r="AA428" i="1"/>
  <c r="Y428" i="1"/>
  <c r="U428" i="1"/>
  <c r="V428" i="1" s="1"/>
  <c r="T428" i="1"/>
  <c r="Z428" i="1" s="1"/>
  <c r="AA427" i="1"/>
  <c r="Y427" i="1"/>
  <c r="U427" i="1"/>
  <c r="V427" i="1" s="1"/>
  <c r="T427" i="1"/>
  <c r="Z427" i="1" s="1"/>
  <c r="AA426" i="1"/>
  <c r="Y426" i="1"/>
  <c r="U426" i="1"/>
  <c r="V426" i="1" s="1"/>
  <c r="T426" i="1"/>
  <c r="Z426" i="1" s="1"/>
  <c r="AA425" i="1"/>
  <c r="Y425" i="1"/>
  <c r="U425" i="1"/>
  <c r="V425" i="1" s="1"/>
  <c r="T425" i="1"/>
  <c r="Z425" i="1" s="1"/>
  <c r="AA424" i="1"/>
  <c r="Y424" i="1"/>
  <c r="V424" i="1"/>
  <c r="U424" i="1"/>
  <c r="T424" i="1"/>
  <c r="Z424" i="1" s="1"/>
  <c r="AA423" i="1"/>
  <c r="Y423" i="1"/>
  <c r="U423" i="1"/>
  <c r="V423" i="1" s="1"/>
  <c r="T423" i="1"/>
  <c r="Z423" i="1" s="1"/>
  <c r="AA422" i="1"/>
  <c r="Y422" i="1"/>
  <c r="V422" i="1"/>
  <c r="U422" i="1"/>
  <c r="T422" i="1"/>
  <c r="Z422" i="1" s="1"/>
  <c r="AA421" i="1"/>
  <c r="Y421" i="1"/>
  <c r="U421" i="1"/>
  <c r="V421" i="1" s="1"/>
  <c r="T421" i="1"/>
  <c r="Z421" i="1" s="1"/>
  <c r="AA420" i="1"/>
  <c r="Y420" i="1"/>
  <c r="U420" i="1"/>
  <c r="V420" i="1" s="1"/>
  <c r="T420" i="1"/>
  <c r="Z420" i="1" s="1"/>
  <c r="AA419" i="1"/>
  <c r="Y419" i="1"/>
  <c r="U419" i="1"/>
  <c r="V419" i="1" s="1"/>
  <c r="T419" i="1"/>
  <c r="Z419" i="1" s="1"/>
  <c r="AA418" i="1"/>
  <c r="Y418" i="1"/>
  <c r="U418" i="1"/>
  <c r="V418" i="1" s="1"/>
  <c r="T418" i="1"/>
  <c r="Z418" i="1" s="1"/>
  <c r="AA417" i="1"/>
  <c r="Y417" i="1"/>
  <c r="V417" i="1"/>
  <c r="U417" i="1"/>
  <c r="T417" i="1"/>
  <c r="Z417" i="1" s="1"/>
  <c r="AA416" i="1"/>
  <c r="Z416" i="1"/>
  <c r="Y416" i="1"/>
  <c r="V416" i="1"/>
  <c r="X416" i="1" s="1"/>
  <c r="U416" i="1"/>
  <c r="T416" i="1"/>
  <c r="AA415" i="1"/>
  <c r="Y415" i="1"/>
  <c r="U415" i="1"/>
  <c r="V415" i="1" s="1"/>
  <c r="T415" i="1"/>
  <c r="Z415" i="1" s="1"/>
  <c r="AA414" i="1"/>
  <c r="Y414" i="1"/>
  <c r="U414" i="1"/>
  <c r="V414" i="1" s="1"/>
  <c r="T414" i="1"/>
  <c r="Z414" i="1" s="1"/>
  <c r="AA413" i="1"/>
  <c r="Y413" i="1"/>
  <c r="U413" i="1"/>
  <c r="V413" i="1" s="1"/>
  <c r="T413" i="1"/>
  <c r="Z413" i="1" s="1"/>
  <c r="AA412" i="1"/>
  <c r="Y412" i="1"/>
  <c r="U412" i="1"/>
  <c r="V412" i="1" s="1"/>
  <c r="T412" i="1"/>
  <c r="Z412" i="1" s="1"/>
  <c r="AA411" i="1"/>
  <c r="Y411" i="1"/>
  <c r="U411" i="1"/>
  <c r="V411" i="1" s="1"/>
  <c r="T411" i="1"/>
  <c r="Z411" i="1" s="1"/>
  <c r="AA410" i="1"/>
  <c r="Y410" i="1"/>
  <c r="V410" i="1"/>
  <c r="U410" i="1"/>
  <c r="T410" i="1"/>
  <c r="Z410" i="1" s="1"/>
  <c r="AA409" i="1"/>
  <c r="Z409" i="1"/>
  <c r="Y409" i="1"/>
  <c r="V409" i="1"/>
  <c r="U409" i="1"/>
  <c r="T409" i="1"/>
  <c r="AA408" i="1"/>
  <c r="Z408" i="1"/>
  <c r="Y408" i="1"/>
  <c r="U408" i="1"/>
  <c r="V408" i="1" s="1"/>
  <c r="T408" i="1"/>
  <c r="AA407" i="1"/>
  <c r="Y407" i="1"/>
  <c r="U407" i="1"/>
  <c r="V407" i="1" s="1"/>
  <c r="T407" i="1"/>
  <c r="Z407" i="1" s="1"/>
  <c r="AA406" i="1"/>
  <c r="Y406" i="1"/>
  <c r="U406" i="1"/>
  <c r="V406" i="1" s="1"/>
  <c r="T406" i="1"/>
  <c r="Z406" i="1" s="1"/>
  <c r="AA405" i="1"/>
  <c r="Y405" i="1"/>
  <c r="U405" i="1"/>
  <c r="V405" i="1" s="1"/>
  <c r="T405" i="1"/>
  <c r="Z405" i="1" s="1"/>
  <c r="AA404" i="1"/>
  <c r="Y404" i="1"/>
  <c r="U404" i="1"/>
  <c r="V404" i="1" s="1"/>
  <c r="T404" i="1"/>
  <c r="Z404" i="1" s="1"/>
  <c r="AA403" i="1"/>
  <c r="Y403" i="1"/>
  <c r="U403" i="1"/>
  <c r="V403" i="1" s="1"/>
  <c r="T403" i="1"/>
  <c r="Z403" i="1" s="1"/>
  <c r="AA402" i="1"/>
  <c r="Y402" i="1"/>
  <c r="V402" i="1"/>
  <c r="U402" i="1"/>
  <c r="T402" i="1"/>
  <c r="Z402" i="1" s="1"/>
  <c r="AA401" i="1"/>
  <c r="Z401" i="1"/>
  <c r="Y401" i="1"/>
  <c r="V401" i="1"/>
  <c r="U401" i="1"/>
  <c r="T401" i="1"/>
  <c r="AA400" i="1"/>
  <c r="Y400" i="1"/>
  <c r="U400" i="1"/>
  <c r="V400" i="1" s="1"/>
  <c r="X400" i="1" s="1"/>
  <c r="T400" i="1"/>
  <c r="Z400" i="1" s="1"/>
  <c r="AA399" i="1"/>
  <c r="Y399" i="1"/>
  <c r="U399" i="1"/>
  <c r="V399" i="1" s="1"/>
  <c r="T399" i="1"/>
  <c r="Z399" i="1" s="1"/>
  <c r="AA398" i="1"/>
  <c r="Y398" i="1"/>
  <c r="V398" i="1"/>
  <c r="U398" i="1"/>
  <c r="T398" i="1"/>
  <c r="Z398" i="1" s="1"/>
  <c r="AA397" i="1"/>
  <c r="Y397" i="1"/>
  <c r="U397" i="1"/>
  <c r="V397" i="1" s="1"/>
  <c r="T397" i="1"/>
  <c r="Z397" i="1" s="1"/>
  <c r="AA396" i="1"/>
  <c r="Y396" i="1"/>
  <c r="U396" i="1"/>
  <c r="V396" i="1" s="1"/>
  <c r="T396" i="1"/>
  <c r="Z396" i="1" s="1"/>
  <c r="AA395" i="1"/>
  <c r="Y395" i="1"/>
  <c r="U395" i="1"/>
  <c r="V395" i="1" s="1"/>
  <c r="T395" i="1"/>
  <c r="Z395" i="1" s="1"/>
  <c r="AA394" i="1"/>
  <c r="Y394" i="1"/>
  <c r="U394" i="1"/>
  <c r="V394" i="1" s="1"/>
  <c r="T394" i="1"/>
  <c r="Z394" i="1" s="1"/>
  <c r="AA393" i="1"/>
  <c r="Y393" i="1"/>
  <c r="U393" i="1"/>
  <c r="V393" i="1" s="1"/>
  <c r="T393" i="1"/>
  <c r="Z393" i="1" s="1"/>
  <c r="AA392" i="1"/>
  <c r="Y392" i="1"/>
  <c r="V392" i="1"/>
  <c r="U392" i="1"/>
  <c r="T392" i="1"/>
  <c r="Z392" i="1" s="1"/>
  <c r="AA391" i="1"/>
  <c r="Y391" i="1"/>
  <c r="U391" i="1"/>
  <c r="V391" i="1" s="1"/>
  <c r="T391" i="1"/>
  <c r="Z391" i="1" s="1"/>
  <c r="AA390" i="1"/>
  <c r="Y390" i="1"/>
  <c r="V390" i="1"/>
  <c r="U390" i="1"/>
  <c r="T390" i="1"/>
  <c r="Z390" i="1" s="1"/>
  <c r="AA389" i="1"/>
  <c r="Y389" i="1"/>
  <c r="U389" i="1"/>
  <c r="V389" i="1" s="1"/>
  <c r="X389" i="1" s="1"/>
  <c r="T389" i="1"/>
  <c r="Z389" i="1" s="1"/>
  <c r="AA388" i="1"/>
  <c r="Y388" i="1"/>
  <c r="U388" i="1"/>
  <c r="V388" i="1" s="1"/>
  <c r="T388" i="1"/>
  <c r="Z388" i="1" s="1"/>
  <c r="AA387" i="1"/>
  <c r="Y387" i="1"/>
  <c r="U387" i="1"/>
  <c r="V387" i="1" s="1"/>
  <c r="T387" i="1"/>
  <c r="Z387" i="1" s="1"/>
  <c r="AA386" i="1"/>
  <c r="Y386" i="1"/>
  <c r="U386" i="1"/>
  <c r="V386" i="1" s="1"/>
  <c r="T386" i="1"/>
  <c r="Z386" i="1" s="1"/>
  <c r="AA385" i="1"/>
  <c r="Y385" i="1"/>
  <c r="V385" i="1"/>
  <c r="U385" i="1"/>
  <c r="T385" i="1"/>
  <c r="Z385" i="1" s="1"/>
  <c r="AA384" i="1"/>
  <c r="Z384" i="1"/>
  <c r="Y384" i="1"/>
  <c r="V384" i="1"/>
  <c r="U384" i="1"/>
  <c r="T384" i="1"/>
  <c r="AA383" i="1"/>
  <c r="Y383" i="1"/>
  <c r="U383" i="1"/>
  <c r="V383" i="1" s="1"/>
  <c r="T383" i="1"/>
  <c r="Z383" i="1" s="1"/>
  <c r="AA382" i="1"/>
  <c r="Y382" i="1"/>
  <c r="U382" i="1"/>
  <c r="V382" i="1" s="1"/>
  <c r="T382" i="1"/>
  <c r="Z382" i="1" s="1"/>
  <c r="AA381" i="1"/>
  <c r="Y381" i="1"/>
  <c r="U381" i="1"/>
  <c r="V381" i="1" s="1"/>
  <c r="T381" i="1"/>
  <c r="Z381" i="1" s="1"/>
  <c r="AA380" i="1"/>
  <c r="Y380" i="1"/>
  <c r="U380" i="1"/>
  <c r="V380" i="1" s="1"/>
  <c r="X380" i="1" s="1"/>
  <c r="T380" i="1"/>
  <c r="Z380" i="1" s="1"/>
  <c r="AA379" i="1"/>
  <c r="Y379" i="1"/>
  <c r="U379" i="1"/>
  <c r="V379" i="1" s="1"/>
  <c r="T379" i="1"/>
  <c r="Z379" i="1" s="1"/>
  <c r="AA378" i="1"/>
  <c r="Y378" i="1"/>
  <c r="V378" i="1"/>
  <c r="U378" i="1"/>
  <c r="T378" i="1"/>
  <c r="Z378" i="1" s="1"/>
  <c r="AA377" i="1"/>
  <c r="Z377" i="1"/>
  <c r="Y377" i="1"/>
  <c r="V377" i="1"/>
  <c r="U377" i="1"/>
  <c r="T377" i="1"/>
  <c r="AA376" i="1"/>
  <c r="Z376" i="1"/>
  <c r="Y376" i="1"/>
  <c r="U376" i="1"/>
  <c r="V376" i="1" s="1"/>
  <c r="X376" i="1" s="1"/>
  <c r="T376" i="1"/>
  <c r="AA375" i="1"/>
  <c r="Y375" i="1"/>
  <c r="U375" i="1"/>
  <c r="V375" i="1" s="1"/>
  <c r="T375" i="1"/>
  <c r="Z375" i="1" s="1"/>
  <c r="AA374" i="1"/>
  <c r="Y374" i="1"/>
  <c r="U374" i="1"/>
  <c r="V374" i="1" s="1"/>
  <c r="T374" i="1"/>
  <c r="Z374" i="1" s="1"/>
  <c r="AA373" i="1"/>
  <c r="Y373" i="1"/>
  <c r="U373" i="1"/>
  <c r="V373" i="1" s="1"/>
  <c r="T373" i="1"/>
  <c r="Z373" i="1" s="1"/>
  <c r="AA372" i="1"/>
  <c r="Y372" i="1"/>
  <c r="U372" i="1"/>
  <c r="V372" i="1" s="1"/>
  <c r="T372" i="1"/>
  <c r="Z372" i="1" s="1"/>
  <c r="AA371" i="1"/>
  <c r="Y371" i="1"/>
  <c r="U371" i="1"/>
  <c r="V371" i="1" s="1"/>
  <c r="T371" i="1"/>
  <c r="Z371" i="1" s="1"/>
  <c r="AA370" i="1"/>
  <c r="Y370" i="1"/>
  <c r="V370" i="1"/>
  <c r="U370" i="1"/>
  <c r="T370" i="1"/>
  <c r="Z370" i="1" s="1"/>
  <c r="AA369" i="1"/>
  <c r="Z369" i="1"/>
  <c r="Y369" i="1"/>
  <c r="V369" i="1"/>
  <c r="U369" i="1"/>
  <c r="T369" i="1"/>
  <c r="AA368" i="1"/>
  <c r="Y368" i="1"/>
  <c r="U368" i="1"/>
  <c r="V368" i="1" s="1"/>
  <c r="T368" i="1"/>
  <c r="Z368" i="1" s="1"/>
  <c r="AA367" i="1"/>
  <c r="Y367" i="1"/>
  <c r="U367" i="1"/>
  <c r="V367" i="1" s="1"/>
  <c r="X367" i="1" s="1"/>
  <c r="T367" i="1"/>
  <c r="Z367" i="1" s="1"/>
  <c r="AA366" i="1"/>
  <c r="Y366" i="1"/>
  <c r="V366" i="1"/>
  <c r="U366" i="1"/>
  <c r="T366" i="1"/>
  <c r="Z366" i="1" s="1"/>
  <c r="AA365" i="1"/>
  <c r="Y365" i="1"/>
  <c r="U365" i="1"/>
  <c r="V365" i="1" s="1"/>
  <c r="T365" i="1"/>
  <c r="Z365" i="1" s="1"/>
  <c r="AA364" i="1"/>
  <c r="Y364" i="1"/>
  <c r="U364" i="1"/>
  <c r="V364" i="1" s="1"/>
  <c r="T364" i="1"/>
  <c r="Z364" i="1" s="1"/>
  <c r="AA363" i="1"/>
  <c r="Y363" i="1"/>
  <c r="U363" i="1"/>
  <c r="V363" i="1" s="1"/>
  <c r="T363" i="1"/>
  <c r="Z363" i="1" s="1"/>
  <c r="AA362" i="1"/>
  <c r="Y362" i="1"/>
  <c r="U362" i="1"/>
  <c r="V362" i="1" s="1"/>
  <c r="T362" i="1"/>
  <c r="Z362" i="1" s="1"/>
  <c r="AA361" i="1"/>
  <c r="Y361" i="1"/>
  <c r="U361" i="1"/>
  <c r="V361" i="1" s="1"/>
  <c r="T361" i="1"/>
  <c r="Z361" i="1" s="1"/>
  <c r="AA360" i="1"/>
  <c r="Y360" i="1"/>
  <c r="V360" i="1"/>
  <c r="U360" i="1"/>
  <c r="T360" i="1"/>
  <c r="Z360" i="1" s="1"/>
  <c r="AA359" i="1"/>
  <c r="Y359" i="1"/>
  <c r="U359" i="1"/>
  <c r="V359" i="1" s="1"/>
  <c r="X359" i="1" s="1"/>
  <c r="T359" i="1"/>
  <c r="Z359" i="1" s="1"/>
  <c r="AA358" i="1"/>
  <c r="Y358" i="1"/>
  <c r="V358" i="1"/>
  <c r="U358" i="1"/>
  <c r="T358" i="1"/>
  <c r="Z358" i="1" s="1"/>
  <c r="AA357" i="1"/>
  <c r="Y357" i="1"/>
  <c r="U357" i="1"/>
  <c r="V357" i="1" s="1"/>
  <c r="T357" i="1"/>
  <c r="Z357" i="1" s="1"/>
  <c r="AA356" i="1"/>
  <c r="Y356" i="1"/>
  <c r="U356" i="1"/>
  <c r="V356" i="1" s="1"/>
  <c r="T356" i="1"/>
  <c r="Z356" i="1" s="1"/>
  <c r="AA355" i="1"/>
  <c r="Y355" i="1"/>
  <c r="U355" i="1"/>
  <c r="V355" i="1" s="1"/>
  <c r="T355" i="1"/>
  <c r="Z355" i="1" s="1"/>
  <c r="AA354" i="1"/>
  <c r="Y354" i="1"/>
  <c r="U354" i="1"/>
  <c r="V354" i="1" s="1"/>
  <c r="T354" i="1"/>
  <c r="Z354" i="1" s="1"/>
  <c r="AA353" i="1"/>
  <c r="Y353" i="1"/>
  <c r="V353" i="1"/>
  <c r="U353" i="1"/>
  <c r="T353" i="1"/>
  <c r="Z353" i="1" s="1"/>
  <c r="AA352" i="1"/>
  <c r="Z352" i="1"/>
  <c r="Y352" i="1"/>
  <c r="V352" i="1"/>
  <c r="U352" i="1"/>
  <c r="T352" i="1"/>
  <c r="AA351" i="1"/>
  <c r="Y351" i="1"/>
  <c r="U351" i="1"/>
  <c r="V351" i="1" s="1"/>
  <c r="T351" i="1"/>
  <c r="Z351" i="1" s="1"/>
  <c r="AA350" i="1"/>
  <c r="Y350" i="1"/>
  <c r="U350" i="1"/>
  <c r="V350" i="1" s="1"/>
  <c r="T350" i="1"/>
  <c r="Z350" i="1" s="1"/>
  <c r="AA349" i="1"/>
  <c r="Y349" i="1"/>
  <c r="U349" i="1"/>
  <c r="V349" i="1" s="1"/>
  <c r="T349" i="1"/>
  <c r="Z349" i="1" s="1"/>
  <c r="AA348" i="1"/>
  <c r="Y348" i="1"/>
  <c r="U348" i="1"/>
  <c r="V348" i="1" s="1"/>
  <c r="T348" i="1"/>
  <c r="Z348" i="1" s="1"/>
  <c r="AA347" i="1"/>
  <c r="Y347" i="1"/>
  <c r="U347" i="1"/>
  <c r="V347" i="1" s="1"/>
  <c r="T347" i="1"/>
  <c r="Z347" i="1" s="1"/>
  <c r="AA346" i="1"/>
  <c r="Y346" i="1"/>
  <c r="V346" i="1"/>
  <c r="U346" i="1"/>
  <c r="T346" i="1"/>
  <c r="Z346" i="1" s="1"/>
  <c r="AA345" i="1"/>
  <c r="Z345" i="1"/>
  <c r="Y345" i="1"/>
  <c r="V345" i="1"/>
  <c r="U345" i="1"/>
  <c r="T345" i="1"/>
  <c r="AA344" i="1"/>
  <c r="Z344" i="1"/>
  <c r="Y344" i="1"/>
  <c r="U344" i="1"/>
  <c r="V344" i="1" s="1"/>
  <c r="T344" i="1"/>
  <c r="AA343" i="1"/>
  <c r="Y343" i="1"/>
  <c r="U343" i="1"/>
  <c r="V343" i="1" s="1"/>
  <c r="T343" i="1"/>
  <c r="Z343" i="1" s="1"/>
  <c r="AA342" i="1"/>
  <c r="Y342" i="1"/>
  <c r="U342" i="1"/>
  <c r="V342" i="1" s="1"/>
  <c r="T342" i="1"/>
  <c r="Z342" i="1" s="1"/>
  <c r="AA341" i="1"/>
  <c r="Y341" i="1"/>
  <c r="U341" i="1"/>
  <c r="V341" i="1" s="1"/>
  <c r="T341" i="1"/>
  <c r="Z341" i="1" s="1"/>
  <c r="AA340" i="1"/>
  <c r="Y340" i="1"/>
  <c r="U340" i="1"/>
  <c r="V340" i="1" s="1"/>
  <c r="T340" i="1"/>
  <c r="Z340" i="1" s="1"/>
  <c r="AA339" i="1"/>
  <c r="Y339" i="1"/>
  <c r="U339" i="1"/>
  <c r="V339" i="1" s="1"/>
  <c r="T339" i="1"/>
  <c r="Z339" i="1" s="1"/>
  <c r="AA338" i="1"/>
  <c r="Y338" i="1"/>
  <c r="V338" i="1"/>
  <c r="U338" i="1"/>
  <c r="T338" i="1"/>
  <c r="Z338" i="1" s="1"/>
  <c r="AA337" i="1"/>
  <c r="Z337" i="1"/>
  <c r="Y337" i="1"/>
  <c r="V337" i="1"/>
  <c r="U337" i="1"/>
  <c r="T337" i="1"/>
  <c r="AA336" i="1"/>
  <c r="Y336" i="1"/>
  <c r="U336" i="1"/>
  <c r="V336" i="1" s="1"/>
  <c r="T336" i="1"/>
  <c r="Z336" i="1" s="1"/>
  <c r="AA335" i="1"/>
  <c r="Y335" i="1"/>
  <c r="U335" i="1"/>
  <c r="V335" i="1" s="1"/>
  <c r="T335" i="1"/>
  <c r="Z335" i="1" s="1"/>
  <c r="AA334" i="1"/>
  <c r="Y334" i="1"/>
  <c r="V334" i="1"/>
  <c r="U334" i="1"/>
  <c r="T334" i="1"/>
  <c r="Z334" i="1" s="1"/>
  <c r="AA333" i="1"/>
  <c r="Y333" i="1"/>
  <c r="U333" i="1"/>
  <c r="V333" i="1" s="1"/>
  <c r="X333" i="1" s="1"/>
  <c r="T333" i="1"/>
  <c r="Z333" i="1" s="1"/>
  <c r="AA332" i="1"/>
  <c r="Y332" i="1"/>
  <c r="U332" i="1"/>
  <c r="V332" i="1" s="1"/>
  <c r="T332" i="1"/>
  <c r="Z332" i="1" s="1"/>
  <c r="AA331" i="1"/>
  <c r="Y331" i="1"/>
  <c r="U331" i="1"/>
  <c r="V331" i="1" s="1"/>
  <c r="T331" i="1"/>
  <c r="Z331" i="1" s="1"/>
  <c r="AA330" i="1"/>
  <c r="Y330" i="1"/>
  <c r="U330" i="1"/>
  <c r="V330" i="1" s="1"/>
  <c r="T330" i="1"/>
  <c r="Z330" i="1" s="1"/>
  <c r="AA329" i="1"/>
  <c r="Y329" i="1"/>
  <c r="U329" i="1"/>
  <c r="V329" i="1" s="1"/>
  <c r="T329" i="1"/>
  <c r="Z329" i="1" s="1"/>
  <c r="AA328" i="1"/>
  <c r="Y328" i="1"/>
  <c r="V328" i="1"/>
  <c r="U328" i="1"/>
  <c r="T328" i="1"/>
  <c r="Z328" i="1" s="1"/>
  <c r="AA327" i="1"/>
  <c r="Y327" i="1"/>
  <c r="U327" i="1"/>
  <c r="V327" i="1" s="1"/>
  <c r="T327" i="1"/>
  <c r="Z327" i="1" s="1"/>
  <c r="AA326" i="1"/>
  <c r="Y326" i="1"/>
  <c r="V326" i="1"/>
  <c r="U326" i="1"/>
  <c r="T326" i="1"/>
  <c r="Z326" i="1" s="1"/>
  <c r="AA325" i="1"/>
  <c r="Y325" i="1"/>
  <c r="U325" i="1"/>
  <c r="V325" i="1" s="1"/>
  <c r="T325" i="1"/>
  <c r="Z325" i="1" s="1"/>
  <c r="AA324" i="1"/>
  <c r="Y324" i="1"/>
  <c r="U324" i="1"/>
  <c r="V324" i="1" s="1"/>
  <c r="T324" i="1"/>
  <c r="Z324" i="1" s="1"/>
  <c r="AA323" i="1"/>
  <c r="Y323" i="1"/>
  <c r="U323" i="1"/>
  <c r="V323" i="1" s="1"/>
  <c r="T323" i="1"/>
  <c r="Z323" i="1" s="1"/>
  <c r="AA322" i="1"/>
  <c r="Y322" i="1"/>
  <c r="U322" i="1"/>
  <c r="V322" i="1" s="1"/>
  <c r="T322" i="1"/>
  <c r="Z322" i="1" s="1"/>
  <c r="AA321" i="1"/>
  <c r="Y321" i="1"/>
  <c r="V321" i="1"/>
  <c r="U321" i="1"/>
  <c r="T321" i="1"/>
  <c r="Z321" i="1" s="1"/>
  <c r="AA320" i="1"/>
  <c r="Y320" i="1"/>
  <c r="U320" i="1"/>
  <c r="V320" i="1" s="1"/>
  <c r="T320" i="1"/>
  <c r="Z320" i="1" s="1"/>
  <c r="AA319" i="1"/>
  <c r="Y319" i="1"/>
  <c r="U319" i="1"/>
  <c r="V319" i="1" s="1"/>
  <c r="T319" i="1"/>
  <c r="Z319" i="1" s="1"/>
  <c r="AA318" i="1"/>
  <c r="Y318" i="1"/>
  <c r="U318" i="1"/>
  <c r="V318" i="1" s="1"/>
  <c r="T318" i="1"/>
  <c r="Z318" i="1" s="1"/>
  <c r="AA317" i="1"/>
  <c r="Y317" i="1"/>
  <c r="U317" i="1"/>
  <c r="V317" i="1" s="1"/>
  <c r="T317" i="1"/>
  <c r="Z317" i="1" s="1"/>
  <c r="AA316" i="1"/>
  <c r="Y316" i="1"/>
  <c r="U316" i="1"/>
  <c r="V316" i="1" s="1"/>
  <c r="T316" i="1"/>
  <c r="Z316" i="1" s="1"/>
  <c r="AA315" i="1"/>
  <c r="Y315" i="1"/>
  <c r="U315" i="1"/>
  <c r="V315" i="1" s="1"/>
  <c r="T315" i="1"/>
  <c r="Z315" i="1" s="1"/>
  <c r="AA314" i="1"/>
  <c r="Y314" i="1"/>
  <c r="U314" i="1"/>
  <c r="V314" i="1" s="1"/>
  <c r="T314" i="1"/>
  <c r="Z314" i="1" s="1"/>
  <c r="AA313" i="1"/>
  <c r="Y313" i="1"/>
  <c r="U313" i="1"/>
  <c r="V313" i="1" s="1"/>
  <c r="T313" i="1"/>
  <c r="Z313" i="1" s="1"/>
  <c r="AA312" i="1"/>
  <c r="Y312" i="1"/>
  <c r="U312" i="1"/>
  <c r="V312" i="1" s="1"/>
  <c r="T312" i="1"/>
  <c r="Z312" i="1" s="1"/>
  <c r="AA311" i="1"/>
  <c r="Y311" i="1"/>
  <c r="U311" i="1"/>
  <c r="V311" i="1" s="1"/>
  <c r="X311" i="1" s="1"/>
  <c r="T311" i="1"/>
  <c r="Z311" i="1" s="1"/>
  <c r="AA310" i="1"/>
  <c r="Y310" i="1"/>
  <c r="U310" i="1"/>
  <c r="V310" i="1" s="1"/>
  <c r="T310" i="1"/>
  <c r="Z310" i="1" s="1"/>
  <c r="AA309" i="1"/>
  <c r="Y309" i="1"/>
  <c r="U309" i="1"/>
  <c r="V309" i="1" s="1"/>
  <c r="T309" i="1"/>
  <c r="Z309" i="1" s="1"/>
  <c r="AA308" i="1"/>
  <c r="Y308" i="1"/>
  <c r="U308" i="1"/>
  <c r="V308" i="1" s="1"/>
  <c r="T308" i="1"/>
  <c r="Z308" i="1" s="1"/>
  <c r="AA307" i="1"/>
  <c r="Y307" i="1"/>
  <c r="U307" i="1"/>
  <c r="V307" i="1" s="1"/>
  <c r="T307" i="1"/>
  <c r="Z307" i="1" s="1"/>
  <c r="AA306" i="1"/>
  <c r="Y306" i="1"/>
  <c r="U306" i="1"/>
  <c r="V306" i="1" s="1"/>
  <c r="T306" i="1"/>
  <c r="Z306" i="1" s="1"/>
  <c r="AA305" i="1"/>
  <c r="Y305" i="1"/>
  <c r="U305" i="1"/>
  <c r="V305" i="1" s="1"/>
  <c r="T305" i="1"/>
  <c r="Z305" i="1" s="1"/>
  <c r="AA304" i="1"/>
  <c r="Y304" i="1"/>
  <c r="U304" i="1"/>
  <c r="V304" i="1" s="1"/>
  <c r="T304" i="1"/>
  <c r="Z304" i="1" s="1"/>
  <c r="AA303" i="1"/>
  <c r="Y303" i="1"/>
  <c r="U303" i="1"/>
  <c r="V303" i="1" s="1"/>
  <c r="T303" i="1"/>
  <c r="Z303" i="1" s="1"/>
  <c r="AA302" i="1"/>
  <c r="Y302" i="1"/>
  <c r="U302" i="1"/>
  <c r="V302" i="1" s="1"/>
  <c r="T302" i="1"/>
  <c r="Z302" i="1" s="1"/>
  <c r="AA301" i="1"/>
  <c r="Y301" i="1"/>
  <c r="U301" i="1"/>
  <c r="V301" i="1" s="1"/>
  <c r="T301" i="1"/>
  <c r="Z301" i="1" s="1"/>
  <c r="AA300" i="1"/>
  <c r="Y300" i="1"/>
  <c r="U300" i="1"/>
  <c r="V300" i="1" s="1"/>
  <c r="T300" i="1"/>
  <c r="Z300" i="1" s="1"/>
  <c r="AA299" i="1"/>
  <c r="Y299" i="1"/>
  <c r="U299" i="1"/>
  <c r="V299" i="1" s="1"/>
  <c r="X299" i="1" s="1"/>
  <c r="T299" i="1"/>
  <c r="Z299" i="1" s="1"/>
  <c r="AA298" i="1"/>
  <c r="Y298" i="1"/>
  <c r="U298" i="1"/>
  <c r="V298" i="1" s="1"/>
  <c r="T298" i="1"/>
  <c r="Z298" i="1" s="1"/>
  <c r="AA297" i="1"/>
  <c r="Y297" i="1"/>
  <c r="U297" i="1"/>
  <c r="V297" i="1" s="1"/>
  <c r="T297" i="1"/>
  <c r="Z297" i="1" s="1"/>
  <c r="AA296" i="1"/>
  <c r="Y296" i="1"/>
  <c r="U296" i="1"/>
  <c r="V296" i="1" s="1"/>
  <c r="X296" i="1" s="1"/>
  <c r="T296" i="1"/>
  <c r="Z296" i="1" s="1"/>
  <c r="AA295" i="1"/>
  <c r="Y295" i="1"/>
  <c r="U295" i="1"/>
  <c r="V295" i="1" s="1"/>
  <c r="T295" i="1"/>
  <c r="Z295" i="1" s="1"/>
  <c r="AA294" i="1"/>
  <c r="Y294" i="1"/>
  <c r="U294" i="1"/>
  <c r="V294" i="1" s="1"/>
  <c r="T294" i="1"/>
  <c r="Z294" i="1" s="1"/>
  <c r="AA293" i="1"/>
  <c r="Y293" i="1"/>
  <c r="U293" i="1"/>
  <c r="V293" i="1" s="1"/>
  <c r="T293" i="1"/>
  <c r="Z293" i="1" s="1"/>
  <c r="AA292" i="1"/>
  <c r="Y292" i="1"/>
  <c r="U292" i="1"/>
  <c r="V292" i="1" s="1"/>
  <c r="T292" i="1"/>
  <c r="Z292" i="1" s="1"/>
  <c r="AA291" i="1"/>
  <c r="Y291" i="1"/>
  <c r="U291" i="1"/>
  <c r="V291" i="1" s="1"/>
  <c r="X291" i="1" s="1"/>
  <c r="T291" i="1"/>
  <c r="Z291" i="1" s="1"/>
  <c r="AA290" i="1"/>
  <c r="Y290" i="1"/>
  <c r="U290" i="1"/>
  <c r="V290" i="1" s="1"/>
  <c r="T290" i="1"/>
  <c r="Z290" i="1" s="1"/>
  <c r="AA289" i="1"/>
  <c r="Y289" i="1"/>
  <c r="U289" i="1"/>
  <c r="V289" i="1" s="1"/>
  <c r="T289" i="1"/>
  <c r="Z289" i="1" s="1"/>
  <c r="AA288" i="1"/>
  <c r="Y288" i="1"/>
  <c r="U288" i="1"/>
  <c r="V288" i="1" s="1"/>
  <c r="X288" i="1" s="1"/>
  <c r="T288" i="1"/>
  <c r="Z288" i="1" s="1"/>
  <c r="AA287" i="1"/>
  <c r="Y287" i="1"/>
  <c r="X287" i="1"/>
  <c r="U287" i="1"/>
  <c r="V287" i="1" s="1"/>
  <c r="T287" i="1"/>
  <c r="Z287" i="1" s="1"/>
  <c r="AA286" i="1"/>
  <c r="Y286" i="1"/>
  <c r="U286" i="1"/>
  <c r="V286" i="1" s="1"/>
  <c r="T286" i="1"/>
  <c r="Z286" i="1" s="1"/>
  <c r="AA285" i="1"/>
  <c r="Y285" i="1"/>
  <c r="U285" i="1"/>
  <c r="V285" i="1" s="1"/>
  <c r="X285" i="1" s="1"/>
  <c r="T285" i="1"/>
  <c r="Z285" i="1" s="1"/>
  <c r="AA284" i="1"/>
  <c r="Y284" i="1"/>
  <c r="U284" i="1"/>
  <c r="V284" i="1" s="1"/>
  <c r="T284" i="1"/>
  <c r="Z284" i="1" s="1"/>
  <c r="AA283" i="1"/>
  <c r="Y283" i="1"/>
  <c r="U283" i="1"/>
  <c r="V283" i="1" s="1"/>
  <c r="T283" i="1"/>
  <c r="Z283" i="1" s="1"/>
  <c r="AA282" i="1"/>
  <c r="Y282" i="1"/>
  <c r="U282" i="1"/>
  <c r="V282" i="1" s="1"/>
  <c r="T282" i="1"/>
  <c r="Z282" i="1" s="1"/>
  <c r="AA281" i="1"/>
  <c r="Y281" i="1"/>
  <c r="U281" i="1"/>
  <c r="V281" i="1" s="1"/>
  <c r="X281" i="1" s="1"/>
  <c r="T281" i="1"/>
  <c r="Z281" i="1" s="1"/>
  <c r="AA280" i="1"/>
  <c r="Y280" i="1"/>
  <c r="U280" i="1"/>
  <c r="V280" i="1" s="1"/>
  <c r="T280" i="1"/>
  <c r="Z280" i="1" s="1"/>
  <c r="AA279" i="1"/>
  <c r="Y279" i="1"/>
  <c r="U279" i="1"/>
  <c r="V279" i="1" s="1"/>
  <c r="T279" i="1"/>
  <c r="Z279" i="1" s="1"/>
  <c r="AA278" i="1"/>
  <c r="Y278" i="1"/>
  <c r="U278" i="1"/>
  <c r="V278" i="1" s="1"/>
  <c r="T278" i="1"/>
  <c r="Z278" i="1" s="1"/>
  <c r="AA277" i="1"/>
  <c r="Y277" i="1"/>
  <c r="U277" i="1"/>
  <c r="V277" i="1" s="1"/>
  <c r="T277" i="1"/>
  <c r="Z277" i="1" s="1"/>
  <c r="AA276" i="1"/>
  <c r="Y276" i="1"/>
  <c r="U276" i="1"/>
  <c r="V276" i="1" s="1"/>
  <c r="T276" i="1"/>
  <c r="Z276" i="1" s="1"/>
  <c r="AA275" i="1"/>
  <c r="Y275" i="1"/>
  <c r="U275" i="1"/>
  <c r="V275" i="1" s="1"/>
  <c r="T275" i="1"/>
  <c r="Z275" i="1" s="1"/>
  <c r="AA274" i="1"/>
  <c r="Y274" i="1"/>
  <c r="U274" i="1"/>
  <c r="V274" i="1" s="1"/>
  <c r="T274" i="1"/>
  <c r="Z274" i="1" s="1"/>
  <c r="AA273" i="1"/>
  <c r="Y273" i="1"/>
  <c r="U273" i="1"/>
  <c r="V273" i="1" s="1"/>
  <c r="X273" i="1" s="1"/>
  <c r="T273" i="1"/>
  <c r="Z273" i="1" s="1"/>
  <c r="AA272" i="1"/>
  <c r="Y272" i="1"/>
  <c r="U272" i="1"/>
  <c r="V272" i="1" s="1"/>
  <c r="X272" i="1" s="1"/>
  <c r="T272" i="1"/>
  <c r="Z272" i="1" s="1"/>
  <c r="AA271" i="1"/>
  <c r="Y271" i="1"/>
  <c r="U271" i="1"/>
  <c r="V271" i="1" s="1"/>
  <c r="X271" i="1" s="1"/>
  <c r="T271" i="1"/>
  <c r="Z271" i="1" s="1"/>
  <c r="AA270" i="1"/>
  <c r="Y270" i="1"/>
  <c r="U270" i="1"/>
  <c r="V270" i="1" s="1"/>
  <c r="T270" i="1"/>
  <c r="Z270" i="1" s="1"/>
  <c r="AA269" i="1"/>
  <c r="Y269" i="1"/>
  <c r="U269" i="1"/>
  <c r="V269" i="1" s="1"/>
  <c r="T269" i="1"/>
  <c r="Z269" i="1" s="1"/>
  <c r="AA268" i="1"/>
  <c r="Y268" i="1"/>
  <c r="U268" i="1"/>
  <c r="V268" i="1" s="1"/>
  <c r="T268" i="1"/>
  <c r="Z268" i="1" s="1"/>
  <c r="AA267" i="1"/>
  <c r="Y267" i="1"/>
  <c r="U267" i="1"/>
  <c r="V267" i="1" s="1"/>
  <c r="T267" i="1"/>
  <c r="Z267" i="1" s="1"/>
  <c r="AA266" i="1"/>
  <c r="Y266" i="1"/>
  <c r="U266" i="1"/>
  <c r="V266" i="1" s="1"/>
  <c r="T266" i="1"/>
  <c r="Z266" i="1" s="1"/>
  <c r="AA265" i="1"/>
  <c r="Y265" i="1"/>
  <c r="U265" i="1"/>
  <c r="V265" i="1" s="1"/>
  <c r="T265" i="1"/>
  <c r="Z265" i="1" s="1"/>
  <c r="AA264" i="1"/>
  <c r="Y264" i="1"/>
  <c r="U264" i="1"/>
  <c r="V264" i="1" s="1"/>
  <c r="T264" i="1"/>
  <c r="Z264" i="1" s="1"/>
  <c r="AA263" i="1"/>
  <c r="Y263" i="1"/>
  <c r="U263" i="1"/>
  <c r="V263" i="1" s="1"/>
  <c r="X263" i="1" s="1"/>
  <c r="T263" i="1"/>
  <c r="Z263" i="1" s="1"/>
  <c r="AA262" i="1"/>
  <c r="Y262" i="1"/>
  <c r="U262" i="1"/>
  <c r="V262" i="1" s="1"/>
  <c r="T262" i="1"/>
  <c r="Z262" i="1" s="1"/>
  <c r="AA261" i="1"/>
  <c r="Y261" i="1"/>
  <c r="U261" i="1"/>
  <c r="V261" i="1" s="1"/>
  <c r="T261" i="1"/>
  <c r="Z261" i="1" s="1"/>
  <c r="AA260" i="1"/>
  <c r="Y260" i="1"/>
  <c r="U260" i="1"/>
  <c r="V260" i="1" s="1"/>
  <c r="T260" i="1"/>
  <c r="Z260" i="1" s="1"/>
  <c r="AA259" i="1"/>
  <c r="Y259" i="1"/>
  <c r="U259" i="1"/>
  <c r="V259" i="1" s="1"/>
  <c r="X259" i="1" s="1"/>
  <c r="T259" i="1"/>
  <c r="Z259" i="1" s="1"/>
  <c r="AA258" i="1"/>
  <c r="Y258" i="1"/>
  <c r="U258" i="1"/>
  <c r="V258" i="1" s="1"/>
  <c r="T258" i="1"/>
  <c r="Z258" i="1" s="1"/>
  <c r="AA257" i="1"/>
  <c r="Y257" i="1"/>
  <c r="U257" i="1"/>
  <c r="V257" i="1" s="1"/>
  <c r="T257" i="1"/>
  <c r="Z257" i="1" s="1"/>
  <c r="AA256" i="1"/>
  <c r="Y256" i="1"/>
  <c r="U256" i="1"/>
  <c r="V256" i="1" s="1"/>
  <c r="X256" i="1" s="1"/>
  <c r="T256" i="1"/>
  <c r="Z256" i="1" s="1"/>
  <c r="AA255" i="1"/>
  <c r="Y255" i="1"/>
  <c r="X255" i="1"/>
  <c r="U255" i="1"/>
  <c r="V255" i="1" s="1"/>
  <c r="T255" i="1"/>
  <c r="Z255" i="1" s="1"/>
  <c r="AA254" i="1"/>
  <c r="Y254" i="1"/>
  <c r="U254" i="1"/>
  <c r="V254" i="1" s="1"/>
  <c r="T254" i="1"/>
  <c r="Z254" i="1" s="1"/>
  <c r="AA253" i="1"/>
  <c r="Y253" i="1"/>
  <c r="U253" i="1"/>
  <c r="V253" i="1" s="1"/>
  <c r="T253" i="1"/>
  <c r="Z253" i="1" s="1"/>
  <c r="AA252" i="1"/>
  <c r="Y252" i="1"/>
  <c r="U252" i="1"/>
  <c r="V252" i="1" s="1"/>
  <c r="T252" i="1"/>
  <c r="Z252" i="1" s="1"/>
  <c r="AA251" i="1"/>
  <c r="Y251" i="1"/>
  <c r="U251" i="1"/>
  <c r="V251" i="1" s="1"/>
  <c r="T251" i="1"/>
  <c r="Z251" i="1" s="1"/>
  <c r="AA250" i="1"/>
  <c r="Y250" i="1"/>
  <c r="U250" i="1"/>
  <c r="V250" i="1" s="1"/>
  <c r="T250" i="1"/>
  <c r="Z250" i="1" s="1"/>
  <c r="AA249" i="1"/>
  <c r="Y249" i="1"/>
  <c r="U249" i="1"/>
  <c r="V249" i="1" s="1"/>
  <c r="T249" i="1"/>
  <c r="Z249" i="1" s="1"/>
  <c r="AA248" i="1"/>
  <c r="Y248" i="1"/>
  <c r="U248" i="1"/>
  <c r="V248" i="1" s="1"/>
  <c r="T248" i="1"/>
  <c r="Z248" i="1" s="1"/>
  <c r="AA247" i="1"/>
  <c r="Y247" i="1"/>
  <c r="U247" i="1"/>
  <c r="V247" i="1" s="1"/>
  <c r="T247" i="1"/>
  <c r="Z247" i="1" s="1"/>
  <c r="AA246" i="1"/>
  <c r="Y246" i="1"/>
  <c r="U246" i="1"/>
  <c r="V246" i="1" s="1"/>
  <c r="T246" i="1"/>
  <c r="Z246" i="1" s="1"/>
  <c r="AA245" i="1"/>
  <c r="Y245" i="1"/>
  <c r="U245" i="1"/>
  <c r="V245" i="1" s="1"/>
  <c r="T245" i="1"/>
  <c r="Z245" i="1" s="1"/>
  <c r="AA244" i="1"/>
  <c r="Y244" i="1"/>
  <c r="U244" i="1"/>
  <c r="V244" i="1" s="1"/>
  <c r="T244" i="1"/>
  <c r="Z244" i="1" s="1"/>
  <c r="AA243" i="1"/>
  <c r="Y243" i="1"/>
  <c r="U243" i="1"/>
  <c r="V243" i="1" s="1"/>
  <c r="T243" i="1"/>
  <c r="Z243" i="1" s="1"/>
  <c r="AA242" i="1"/>
  <c r="Y242" i="1"/>
  <c r="U242" i="1"/>
  <c r="V242" i="1" s="1"/>
  <c r="T242" i="1"/>
  <c r="Z242" i="1" s="1"/>
  <c r="AA241" i="1"/>
  <c r="Y241" i="1"/>
  <c r="U241" i="1"/>
  <c r="V241" i="1" s="1"/>
  <c r="T241" i="1"/>
  <c r="Z241" i="1" s="1"/>
  <c r="AA240" i="1"/>
  <c r="Y240" i="1"/>
  <c r="U240" i="1"/>
  <c r="V240" i="1" s="1"/>
  <c r="X240" i="1" s="1"/>
  <c r="T240" i="1"/>
  <c r="Z240" i="1" s="1"/>
  <c r="AA239" i="1"/>
  <c r="Y239" i="1"/>
  <c r="U239" i="1"/>
  <c r="V239" i="1" s="1"/>
  <c r="X239" i="1" s="1"/>
  <c r="T239" i="1"/>
  <c r="Z239" i="1" s="1"/>
  <c r="AA238" i="1"/>
  <c r="Y238" i="1"/>
  <c r="U238" i="1"/>
  <c r="V238" i="1" s="1"/>
  <c r="T238" i="1"/>
  <c r="Z238" i="1" s="1"/>
  <c r="AA237" i="1"/>
  <c r="Y237" i="1"/>
  <c r="U237" i="1"/>
  <c r="V237" i="1" s="1"/>
  <c r="T237" i="1"/>
  <c r="Z237" i="1" s="1"/>
  <c r="AA236" i="1"/>
  <c r="Y236" i="1"/>
  <c r="U236" i="1"/>
  <c r="V236" i="1" s="1"/>
  <c r="T236" i="1"/>
  <c r="Z236" i="1" s="1"/>
  <c r="AA235" i="1"/>
  <c r="Y235" i="1"/>
  <c r="U235" i="1"/>
  <c r="V235" i="1" s="1"/>
  <c r="T235" i="1"/>
  <c r="Z235" i="1" s="1"/>
  <c r="AA234" i="1"/>
  <c r="Y234" i="1"/>
  <c r="U234" i="1"/>
  <c r="V234" i="1" s="1"/>
  <c r="T234" i="1"/>
  <c r="Z234" i="1" s="1"/>
  <c r="AA233" i="1"/>
  <c r="Y233" i="1"/>
  <c r="U233" i="1"/>
  <c r="V233" i="1" s="1"/>
  <c r="T233" i="1"/>
  <c r="Z233" i="1" s="1"/>
  <c r="AA232" i="1"/>
  <c r="Y232" i="1"/>
  <c r="U232" i="1"/>
  <c r="V232" i="1" s="1"/>
  <c r="T232" i="1"/>
  <c r="Z232" i="1" s="1"/>
  <c r="AA231" i="1"/>
  <c r="Y231" i="1"/>
  <c r="U231" i="1"/>
  <c r="V231" i="1" s="1"/>
  <c r="X231" i="1" s="1"/>
  <c r="T231" i="1"/>
  <c r="Z231" i="1" s="1"/>
  <c r="AA230" i="1"/>
  <c r="Y230" i="1"/>
  <c r="U230" i="1"/>
  <c r="V230" i="1" s="1"/>
  <c r="T230" i="1"/>
  <c r="Z230" i="1" s="1"/>
  <c r="AA229" i="1"/>
  <c r="Y229" i="1"/>
  <c r="U229" i="1"/>
  <c r="V229" i="1" s="1"/>
  <c r="T229" i="1"/>
  <c r="Z229" i="1" s="1"/>
  <c r="AA228" i="1"/>
  <c r="Y228" i="1"/>
  <c r="U228" i="1"/>
  <c r="V228" i="1" s="1"/>
  <c r="T228" i="1"/>
  <c r="Z228" i="1" s="1"/>
  <c r="AA227" i="1"/>
  <c r="Y227" i="1"/>
  <c r="U227" i="1"/>
  <c r="V227" i="1" s="1"/>
  <c r="T227" i="1"/>
  <c r="Z227" i="1" s="1"/>
  <c r="AA226" i="1"/>
  <c r="Y226" i="1"/>
  <c r="U226" i="1"/>
  <c r="V226" i="1" s="1"/>
  <c r="T226" i="1"/>
  <c r="Z226" i="1" s="1"/>
  <c r="AA225" i="1"/>
  <c r="Y225" i="1"/>
  <c r="U225" i="1"/>
  <c r="V225" i="1" s="1"/>
  <c r="T225" i="1"/>
  <c r="Z225" i="1" s="1"/>
  <c r="AA224" i="1"/>
  <c r="Y224" i="1"/>
  <c r="U224" i="1"/>
  <c r="V224" i="1" s="1"/>
  <c r="T224" i="1"/>
  <c r="Z224" i="1" s="1"/>
  <c r="AA223" i="1"/>
  <c r="Y223" i="1"/>
  <c r="U223" i="1"/>
  <c r="V223" i="1" s="1"/>
  <c r="T223" i="1"/>
  <c r="Z223" i="1" s="1"/>
  <c r="AA222" i="1"/>
  <c r="Y222" i="1"/>
  <c r="U222" i="1"/>
  <c r="V222" i="1" s="1"/>
  <c r="T222" i="1"/>
  <c r="Z222" i="1" s="1"/>
  <c r="AA221" i="1"/>
  <c r="Y221" i="1"/>
  <c r="U221" i="1"/>
  <c r="V221" i="1" s="1"/>
  <c r="T221" i="1"/>
  <c r="Z221" i="1" s="1"/>
  <c r="AA220" i="1"/>
  <c r="Y220" i="1"/>
  <c r="V220" i="1"/>
  <c r="U220" i="1"/>
  <c r="T220" i="1"/>
  <c r="Z220" i="1" s="1"/>
  <c r="AA219" i="1"/>
  <c r="Y219" i="1"/>
  <c r="U219" i="1"/>
  <c r="V219" i="1" s="1"/>
  <c r="T219" i="1"/>
  <c r="Z219" i="1" s="1"/>
  <c r="AA218" i="1"/>
  <c r="Y218" i="1"/>
  <c r="V218" i="1"/>
  <c r="U218" i="1"/>
  <c r="T218" i="1"/>
  <c r="Z218" i="1" s="1"/>
  <c r="AA217" i="1"/>
  <c r="Y217" i="1"/>
  <c r="U217" i="1"/>
  <c r="V217" i="1" s="1"/>
  <c r="T217" i="1"/>
  <c r="Z217" i="1" s="1"/>
  <c r="AA216" i="1"/>
  <c r="Y216" i="1"/>
  <c r="U216" i="1"/>
  <c r="V216" i="1" s="1"/>
  <c r="T216" i="1"/>
  <c r="Z216" i="1" s="1"/>
  <c r="AA215" i="1"/>
  <c r="Y215" i="1"/>
  <c r="U215" i="1"/>
  <c r="V215" i="1" s="1"/>
  <c r="T215" i="1"/>
  <c r="Z215" i="1" s="1"/>
  <c r="AA214" i="1"/>
  <c r="Y214" i="1"/>
  <c r="U214" i="1"/>
  <c r="V214" i="1" s="1"/>
  <c r="T214" i="1"/>
  <c r="Z214" i="1" s="1"/>
  <c r="AA213" i="1"/>
  <c r="Y213" i="1"/>
  <c r="U213" i="1"/>
  <c r="V213" i="1" s="1"/>
  <c r="T213" i="1"/>
  <c r="Z213" i="1" s="1"/>
  <c r="AA212" i="1"/>
  <c r="Y212" i="1"/>
  <c r="U212" i="1"/>
  <c r="V212" i="1" s="1"/>
  <c r="T212" i="1"/>
  <c r="Z212" i="1" s="1"/>
  <c r="AA211" i="1"/>
  <c r="Y211" i="1"/>
  <c r="U211" i="1"/>
  <c r="V211" i="1" s="1"/>
  <c r="T211" i="1"/>
  <c r="Z211" i="1" s="1"/>
  <c r="AA210" i="1"/>
  <c r="Y210" i="1"/>
  <c r="V210" i="1"/>
  <c r="U210" i="1"/>
  <c r="T210" i="1"/>
  <c r="Z210" i="1" s="1"/>
  <c r="AA209" i="1"/>
  <c r="Y209" i="1"/>
  <c r="V209" i="1"/>
  <c r="U209" i="1"/>
  <c r="T209" i="1"/>
  <c r="Z209" i="1" s="1"/>
  <c r="AA208" i="1"/>
  <c r="Y208" i="1"/>
  <c r="U208" i="1"/>
  <c r="V208" i="1" s="1"/>
  <c r="T208" i="1"/>
  <c r="Z208" i="1" s="1"/>
  <c r="AA207" i="1"/>
  <c r="Y207" i="1"/>
  <c r="U207" i="1"/>
  <c r="V207" i="1" s="1"/>
  <c r="T207" i="1"/>
  <c r="Z207" i="1" s="1"/>
  <c r="AA206" i="1"/>
  <c r="Y206" i="1"/>
  <c r="U206" i="1"/>
  <c r="V206" i="1" s="1"/>
  <c r="T206" i="1"/>
  <c r="Z206" i="1" s="1"/>
  <c r="AA205" i="1"/>
  <c r="Y205" i="1"/>
  <c r="U205" i="1"/>
  <c r="V205" i="1" s="1"/>
  <c r="T205" i="1"/>
  <c r="Z205" i="1" s="1"/>
  <c r="AA204" i="1"/>
  <c r="Y204" i="1"/>
  <c r="U204" i="1"/>
  <c r="V204" i="1" s="1"/>
  <c r="T204" i="1"/>
  <c r="Z204" i="1" s="1"/>
  <c r="AA203" i="1"/>
  <c r="Y203" i="1"/>
  <c r="X203" i="1"/>
  <c r="U203" i="1"/>
  <c r="V203" i="1" s="1"/>
  <c r="T203" i="1"/>
  <c r="Z203" i="1" s="1"/>
  <c r="AA202" i="1"/>
  <c r="Y202" i="1"/>
  <c r="U202" i="1"/>
  <c r="V202" i="1" s="1"/>
  <c r="T202" i="1"/>
  <c r="Z202" i="1" s="1"/>
  <c r="AA201" i="1"/>
  <c r="Y201" i="1"/>
  <c r="U201" i="1"/>
  <c r="V201" i="1" s="1"/>
  <c r="T201" i="1"/>
  <c r="Z201" i="1" s="1"/>
  <c r="AA200" i="1"/>
  <c r="Y200" i="1"/>
  <c r="U200" i="1"/>
  <c r="V200" i="1" s="1"/>
  <c r="T200" i="1"/>
  <c r="Z200" i="1" s="1"/>
  <c r="AA199" i="1"/>
  <c r="Y199" i="1"/>
  <c r="U199" i="1"/>
  <c r="V199" i="1" s="1"/>
  <c r="T199" i="1"/>
  <c r="Z199" i="1" s="1"/>
  <c r="AA198" i="1"/>
  <c r="Y198" i="1"/>
  <c r="U198" i="1"/>
  <c r="V198" i="1" s="1"/>
  <c r="T198" i="1"/>
  <c r="Z198" i="1" s="1"/>
  <c r="AA197" i="1"/>
  <c r="Y197" i="1"/>
  <c r="U197" i="1"/>
  <c r="V197" i="1" s="1"/>
  <c r="T197" i="1"/>
  <c r="Z197" i="1" s="1"/>
  <c r="AA196" i="1"/>
  <c r="Y196" i="1"/>
  <c r="U196" i="1"/>
  <c r="V196" i="1" s="1"/>
  <c r="X196" i="1" s="1"/>
  <c r="T196" i="1"/>
  <c r="Z196" i="1" s="1"/>
  <c r="AA195" i="1"/>
  <c r="Y195" i="1"/>
  <c r="U195" i="1"/>
  <c r="V195" i="1" s="1"/>
  <c r="T195" i="1"/>
  <c r="Z195" i="1" s="1"/>
  <c r="AA194" i="1"/>
  <c r="Y194" i="1"/>
  <c r="U194" i="1"/>
  <c r="V194" i="1" s="1"/>
  <c r="T194" i="1"/>
  <c r="Z194" i="1" s="1"/>
  <c r="AA193" i="1"/>
  <c r="Y193" i="1"/>
  <c r="U193" i="1"/>
  <c r="V193" i="1" s="1"/>
  <c r="T193" i="1"/>
  <c r="Z193" i="1" s="1"/>
  <c r="AA192" i="1"/>
  <c r="Y192" i="1"/>
  <c r="U192" i="1"/>
  <c r="V192" i="1" s="1"/>
  <c r="T192" i="1"/>
  <c r="Z192" i="1" s="1"/>
  <c r="AA191" i="1"/>
  <c r="Y191" i="1"/>
  <c r="V191" i="1"/>
  <c r="U191" i="1"/>
  <c r="T191" i="1"/>
  <c r="Z191" i="1" s="1"/>
  <c r="AA190" i="1"/>
  <c r="Y190" i="1"/>
  <c r="U190" i="1"/>
  <c r="V190" i="1" s="1"/>
  <c r="T190" i="1"/>
  <c r="Z190" i="1" s="1"/>
  <c r="AA189" i="1"/>
  <c r="Y189" i="1"/>
  <c r="U189" i="1"/>
  <c r="V189" i="1" s="1"/>
  <c r="T189" i="1"/>
  <c r="Z189" i="1" s="1"/>
  <c r="AA188" i="1"/>
  <c r="Y188" i="1"/>
  <c r="U188" i="1"/>
  <c r="V188" i="1" s="1"/>
  <c r="T188" i="1"/>
  <c r="Z188" i="1" s="1"/>
  <c r="AA187" i="1"/>
  <c r="Y187" i="1"/>
  <c r="U187" i="1"/>
  <c r="V187" i="1" s="1"/>
  <c r="X187" i="1" s="1"/>
  <c r="T187" i="1"/>
  <c r="Z187" i="1" s="1"/>
  <c r="AA186" i="1"/>
  <c r="Y186" i="1"/>
  <c r="V186" i="1"/>
  <c r="U186" i="1"/>
  <c r="T186" i="1"/>
  <c r="Z186" i="1" s="1"/>
  <c r="AA185" i="1"/>
  <c r="Y185" i="1"/>
  <c r="U185" i="1"/>
  <c r="V185" i="1" s="1"/>
  <c r="T185" i="1"/>
  <c r="Z185" i="1" s="1"/>
  <c r="AA184" i="1"/>
  <c r="Y184" i="1"/>
  <c r="U184" i="1"/>
  <c r="V184" i="1" s="1"/>
  <c r="T184" i="1"/>
  <c r="Z184" i="1" s="1"/>
  <c r="AA183" i="1"/>
  <c r="Y183" i="1"/>
  <c r="U183" i="1"/>
  <c r="V183" i="1" s="1"/>
  <c r="T183" i="1"/>
  <c r="Z183" i="1" s="1"/>
  <c r="AA182" i="1"/>
  <c r="Y182" i="1"/>
  <c r="V182" i="1"/>
  <c r="U182" i="1"/>
  <c r="T182" i="1"/>
  <c r="Z182" i="1" s="1"/>
  <c r="AA181" i="1"/>
  <c r="Y181" i="1"/>
  <c r="U181" i="1"/>
  <c r="V181" i="1" s="1"/>
  <c r="T181" i="1"/>
  <c r="Z181" i="1" s="1"/>
  <c r="AA180" i="1"/>
  <c r="Y180" i="1"/>
  <c r="U180" i="1"/>
  <c r="V180" i="1" s="1"/>
  <c r="T180" i="1"/>
  <c r="Z180" i="1" s="1"/>
  <c r="AA179" i="1"/>
  <c r="Y179" i="1"/>
  <c r="V179" i="1"/>
  <c r="U179" i="1"/>
  <c r="T179" i="1"/>
  <c r="Z179" i="1" s="1"/>
  <c r="AA178" i="1"/>
  <c r="Y178" i="1"/>
  <c r="U178" i="1"/>
  <c r="V178" i="1" s="1"/>
  <c r="T178" i="1"/>
  <c r="Z178" i="1" s="1"/>
  <c r="AA177" i="1"/>
  <c r="Y177" i="1"/>
  <c r="V177" i="1"/>
  <c r="U177" i="1"/>
  <c r="T177" i="1"/>
  <c r="Z177" i="1" s="1"/>
  <c r="AA176" i="1"/>
  <c r="Y176" i="1"/>
  <c r="U176" i="1"/>
  <c r="V176" i="1" s="1"/>
  <c r="T176" i="1"/>
  <c r="Z176" i="1" s="1"/>
  <c r="AA175" i="1"/>
  <c r="Y175" i="1"/>
  <c r="U175" i="1"/>
  <c r="V175" i="1" s="1"/>
  <c r="T175" i="1"/>
  <c r="Z175" i="1" s="1"/>
  <c r="AA174" i="1"/>
  <c r="Y174" i="1"/>
  <c r="U174" i="1"/>
  <c r="V174" i="1" s="1"/>
  <c r="T174" i="1"/>
  <c r="Z174" i="1" s="1"/>
  <c r="AA173" i="1"/>
  <c r="Y173" i="1"/>
  <c r="U173" i="1"/>
  <c r="V173" i="1" s="1"/>
  <c r="T173" i="1"/>
  <c r="Z173" i="1" s="1"/>
  <c r="AA172" i="1"/>
  <c r="Y172" i="1"/>
  <c r="U172" i="1"/>
  <c r="V172" i="1" s="1"/>
  <c r="T172" i="1"/>
  <c r="Z172" i="1" s="1"/>
  <c r="AA171" i="1"/>
  <c r="Y171" i="1"/>
  <c r="U171" i="1"/>
  <c r="V171" i="1" s="1"/>
  <c r="X171" i="1" s="1"/>
  <c r="T171" i="1"/>
  <c r="Z171" i="1" s="1"/>
  <c r="AA170" i="1"/>
  <c r="Y170" i="1"/>
  <c r="U170" i="1"/>
  <c r="V170" i="1" s="1"/>
  <c r="T170" i="1"/>
  <c r="Z170" i="1" s="1"/>
  <c r="AA169" i="1"/>
  <c r="Y169" i="1"/>
  <c r="U169" i="1"/>
  <c r="V169" i="1" s="1"/>
  <c r="X169" i="1" s="1"/>
  <c r="T169" i="1"/>
  <c r="Z169" i="1" s="1"/>
  <c r="AA168" i="1"/>
  <c r="Y168" i="1"/>
  <c r="V168" i="1"/>
  <c r="U168" i="1"/>
  <c r="T168" i="1"/>
  <c r="Z168" i="1" s="1"/>
  <c r="AA167" i="1"/>
  <c r="Y167" i="1"/>
  <c r="U167" i="1"/>
  <c r="V167" i="1" s="1"/>
  <c r="X167" i="1" s="1"/>
  <c r="T167" i="1"/>
  <c r="Z167" i="1" s="1"/>
  <c r="AA166" i="1"/>
  <c r="Y166" i="1"/>
  <c r="U166" i="1"/>
  <c r="V166" i="1" s="1"/>
  <c r="X166" i="1" s="1"/>
  <c r="T166" i="1"/>
  <c r="Z166" i="1" s="1"/>
  <c r="AA165" i="1"/>
  <c r="Y165" i="1"/>
  <c r="U165" i="1"/>
  <c r="V165" i="1" s="1"/>
  <c r="T165" i="1"/>
  <c r="Z165" i="1" s="1"/>
  <c r="AA164" i="1"/>
  <c r="Y164" i="1"/>
  <c r="U164" i="1"/>
  <c r="V164" i="1" s="1"/>
  <c r="T164" i="1"/>
  <c r="Z164" i="1" s="1"/>
  <c r="AA163" i="1"/>
  <c r="Y163" i="1"/>
  <c r="U163" i="1"/>
  <c r="V163" i="1" s="1"/>
  <c r="X163" i="1" s="1"/>
  <c r="T163" i="1"/>
  <c r="Z163" i="1" s="1"/>
  <c r="AA162" i="1"/>
  <c r="Y162" i="1"/>
  <c r="U162" i="1"/>
  <c r="V162" i="1" s="1"/>
  <c r="X162" i="1" s="1"/>
  <c r="T162" i="1"/>
  <c r="Z162" i="1" s="1"/>
  <c r="AA161" i="1"/>
  <c r="Y161" i="1"/>
  <c r="U161" i="1"/>
  <c r="V161" i="1" s="1"/>
  <c r="T161" i="1"/>
  <c r="Z161" i="1" s="1"/>
  <c r="AA160" i="1"/>
  <c r="Y160" i="1"/>
  <c r="U160" i="1"/>
  <c r="V160" i="1" s="1"/>
  <c r="X160" i="1" s="1"/>
  <c r="T160" i="1"/>
  <c r="Z160" i="1" s="1"/>
  <c r="AA159" i="1"/>
  <c r="Y159" i="1"/>
  <c r="U159" i="1"/>
  <c r="V159" i="1" s="1"/>
  <c r="X159" i="1" s="1"/>
  <c r="T159" i="1"/>
  <c r="Z159" i="1" s="1"/>
  <c r="AA158" i="1"/>
  <c r="Y158" i="1"/>
  <c r="U158" i="1"/>
  <c r="V158" i="1" s="1"/>
  <c r="T158" i="1"/>
  <c r="Z158" i="1" s="1"/>
  <c r="AA157" i="1"/>
  <c r="Y157" i="1"/>
  <c r="U157" i="1"/>
  <c r="V157" i="1" s="1"/>
  <c r="T157" i="1"/>
  <c r="Z157" i="1" s="1"/>
  <c r="AA156" i="1"/>
  <c r="Y156" i="1"/>
  <c r="U156" i="1"/>
  <c r="V156" i="1" s="1"/>
  <c r="X156" i="1" s="1"/>
  <c r="T156" i="1"/>
  <c r="Z156" i="1" s="1"/>
  <c r="AA155" i="1"/>
  <c r="Y155" i="1"/>
  <c r="U155" i="1"/>
  <c r="V155" i="1" s="1"/>
  <c r="T155" i="1"/>
  <c r="Z155" i="1" s="1"/>
  <c r="AA154" i="1"/>
  <c r="Y154" i="1"/>
  <c r="U154" i="1"/>
  <c r="V154" i="1" s="1"/>
  <c r="T154" i="1"/>
  <c r="Z154" i="1" s="1"/>
  <c r="AA153" i="1"/>
  <c r="Y153" i="1"/>
  <c r="U153" i="1"/>
  <c r="V153" i="1" s="1"/>
  <c r="T153" i="1"/>
  <c r="Z153" i="1" s="1"/>
  <c r="AA152" i="1"/>
  <c r="Y152" i="1"/>
  <c r="U152" i="1"/>
  <c r="V152" i="1" s="1"/>
  <c r="X152" i="1" s="1"/>
  <c r="T152" i="1"/>
  <c r="Z152" i="1" s="1"/>
  <c r="AA151" i="1"/>
  <c r="Y151" i="1"/>
  <c r="U151" i="1"/>
  <c r="V151" i="1" s="1"/>
  <c r="X151" i="1" s="1"/>
  <c r="T151" i="1"/>
  <c r="Z151" i="1" s="1"/>
  <c r="AA150" i="1"/>
  <c r="Y150" i="1"/>
  <c r="U150" i="1"/>
  <c r="V150" i="1" s="1"/>
  <c r="T150" i="1"/>
  <c r="Z150" i="1" s="1"/>
  <c r="AA149" i="1"/>
  <c r="Y149" i="1"/>
  <c r="U149" i="1"/>
  <c r="V149" i="1" s="1"/>
  <c r="T149" i="1"/>
  <c r="Z149" i="1" s="1"/>
  <c r="AA148" i="1"/>
  <c r="Y148" i="1"/>
  <c r="U148" i="1"/>
  <c r="V148" i="1" s="1"/>
  <c r="T148" i="1"/>
  <c r="Z148" i="1" s="1"/>
  <c r="AA147" i="1"/>
  <c r="Y147" i="1"/>
  <c r="U147" i="1"/>
  <c r="V147" i="1" s="1"/>
  <c r="X147" i="1" s="1"/>
  <c r="T147" i="1"/>
  <c r="Z147" i="1" s="1"/>
  <c r="AA146" i="1"/>
  <c r="Y146" i="1"/>
  <c r="U146" i="1"/>
  <c r="V146" i="1" s="1"/>
  <c r="T146" i="1"/>
  <c r="Z146" i="1" s="1"/>
  <c r="AA145" i="1"/>
  <c r="Y145" i="1"/>
  <c r="U145" i="1"/>
  <c r="V145" i="1" s="1"/>
  <c r="T145" i="1"/>
  <c r="Z145" i="1" s="1"/>
  <c r="AA144" i="1"/>
  <c r="Y144" i="1"/>
  <c r="U144" i="1"/>
  <c r="V144" i="1" s="1"/>
  <c r="T144" i="1"/>
  <c r="Z144" i="1" s="1"/>
  <c r="AA143" i="1"/>
  <c r="Y143" i="1"/>
  <c r="U143" i="1"/>
  <c r="V143" i="1" s="1"/>
  <c r="T143" i="1"/>
  <c r="Z143" i="1" s="1"/>
  <c r="AA142" i="1"/>
  <c r="Y142" i="1"/>
  <c r="U142" i="1"/>
  <c r="V142" i="1" s="1"/>
  <c r="T142" i="1"/>
  <c r="Z142" i="1" s="1"/>
  <c r="AA141" i="1"/>
  <c r="Y141" i="1"/>
  <c r="U141" i="1"/>
  <c r="V141" i="1" s="1"/>
  <c r="T141" i="1"/>
  <c r="Z141" i="1" s="1"/>
  <c r="AA140" i="1"/>
  <c r="Y140" i="1"/>
  <c r="U140" i="1"/>
  <c r="V140" i="1" s="1"/>
  <c r="X140" i="1" s="1"/>
  <c r="T140" i="1"/>
  <c r="Z140" i="1" s="1"/>
  <c r="AA139" i="1"/>
  <c r="Y139" i="1"/>
  <c r="U139" i="1"/>
  <c r="V139" i="1" s="1"/>
  <c r="T139" i="1"/>
  <c r="Z139" i="1" s="1"/>
  <c r="AA138" i="1"/>
  <c r="Y138" i="1"/>
  <c r="U138" i="1"/>
  <c r="V138" i="1" s="1"/>
  <c r="T138" i="1"/>
  <c r="Z138" i="1" s="1"/>
  <c r="AA137" i="1"/>
  <c r="Y137" i="1"/>
  <c r="U137" i="1"/>
  <c r="V137" i="1" s="1"/>
  <c r="X137" i="1" s="1"/>
  <c r="T137" i="1"/>
  <c r="Z137" i="1" s="1"/>
  <c r="AA136" i="1"/>
  <c r="Y136" i="1"/>
  <c r="U136" i="1"/>
  <c r="V136" i="1" s="1"/>
  <c r="X136" i="1" s="1"/>
  <c r="T136" i="1"/>
  <c r="Z136" i="1" s="1"/>
  <c r="AA135" i="1"/>
  <c r="Y135" i="1"/>
  <c r="U135" i="1"/>
  <c r="V135" i="1" s="1"/>
  <c r="T135" i="1"/>
  <c r="Z135" i="1" s="1"/>
  <c r="AA134" i="1"/>
  <c r="Y134" i="1"/>
  <c r="U134" i="1"/>
  <c r="V134" i="1" s="1"/>
  <c r="T134" i="1"/>
  <c r="Z134" i="1" s="1"/>
  <c r="AA133" i="1"/>
  <c r="Y133" i="1"/>
  <c r="U133" i="1"/>
  <c r="V133" i="1" s="1"/>
  <c r="T133" i="1"/>
  <c r="Z133" i="1" s="1"/>
  <c r="AA132" i="1"/>
  <c r="Y132" i="1"/>
  <c r="U132" i="1"/>
  <c r="V132" i="1" s="1"/>
  <c r="T132" i="1"/>
  <c r="Z132" i="1" s="1"/>
  <c r="AA131" i="1"/>
  <c r="Y131" i="1"/>
  <c r="U131" i="1"/>
  <c r="V131" i="1" s="1"/>
  <c r="T131" i="1"/>
  <c r="Z131" i="1" s="1"/>
  <c r="AA130" i="1"/>
  <c r="Y130" i="1"/>
  <c r="U130" i="1"/>
  <c r="V130" i="1" s="1"/>
  <c r="T130" i="1"/>
  <c r="Z130" i="1" s="1"/>
  <c r="AA129" i="1"/>
  <c r="Y129" i="1"/>
  <c r="U129" i="1"/>
  <c r="V129" i="1" s="1"/>
  <c r="T129" i="1"/>
  <c r="Z129" i="1" s="1"/>
  <c r="AA128" i="1"/>
  <c r="Y128" i="1"/>
  <c r="U128" i="1"/>
  <c r="V128" i="1" s="1"/>
  <c r="T128" i="1"/>
  <c r="Z128" i="1" s="1"/>
  <c r="AA127" i="1"/>
  <c r="Y127" i="1"/>
  <c r="U127" i="1"/>
  <c r="V127" i="1" s="1"/>
  <c r="T127" i="1"/>
  <c r="Z127" i="1" s="1"/>
  <c r="AA126" i="1"/>
  <c r="Y126" i="1"/>
  <c r="U126" i="1"/>
  <c r="V126" i="1" s="1"/>
  <c r="T126" i="1"/>
  <c r="Z126" i="1" s="1"/>
  <c r="AA125" i="1"/>
  <c r="Y125" i="1"/>
  <c r="U125" i="1"/>
  <c r="V125" i="1" s="1"/>
  <c r="T125" i="1"/>
  <c r="Z125" i="1" s="1"/>
  <c r="AA124" i="1"/>
  <c r="Y124" i="1"/>
  <c r="U124" i="1"/>
  <c r="V124" i="1" s="1"/>
  <c r="T124" i="1"/>
  <c r="Z124" i="1" s="1"/>
  <c r="AA123" i="1"/>
  <c r="Y123" i="1"/>
  <c r="U123" i="1"/>
  <c r="V123" i="1" s="1"/>
  <c r="T123" i="1"/>
  <c r="Z123" i="1" s="1"/>
  <c r="AA122" i="1"/>
  <c r="Y122" i="1"/>
  <c r="U122" i="1"/>
  <c r="V122" i="1" s="1"/>
  <c r="T122" i="1"/>
  <c r="Z122" i="1" s="1"/>
  <c r="AA121" i="1"/>
  <c r="Y121" i="1"/>
  <c r="U121" i="1"/>
  <c r="V121" i="1" s="1"/>
  <c r="X121" i="1" s="1"/>
  <c r="T121" i="1"/>
  <c r="Z121" i="1" s="1"/>
  <c r="AA120" i="1"/>
  <c r="Y120" i="1"/>
  <c r="U120" i="1"/>
  <c r="V120" i="1" s="1"/>
  <c r="X120" i="1" s="1"/>
  <c r="T120" i="1"/>
  <c r="Z120" i="1" s="1"/>
  <c r="AA119" i="1"/>
  <c r="Y119" i="1"/>
  <c r="U119" i="1"/>
  <c r="V119" i="1" s="1"/>
  <c r="T119" i="1"/>
  <c r="Z119" i="1" s="1"/>
  <c r="AA118" i="1"/>
  <c r="Y118" i="1"/>
  <c r="U118" i="1"/>
  <c r="V118" i="1" s="1"/>
  <c r="T118" i="1"/>
  <c r="Z118" i="1" s="1"/>
  <c r="AA117" i="1"/>
  <c r="Y117" i="1"/>
  <c r="U117" i="1"/>
  <c r="V117" i="1" s="1"/>
  <c r="T117" i="1"/>
  <c r="Z117" i="1" s="1"/>
  <c r="AA116" i="1"/>
  <c r="Y116" i="1"/>
  <c r="U116" i="1"/>
  <c r="V116" i="1" s="1"/>
  <c r="T116" i="1"/>
  <c r="Z116" i="1" s="1"/>
  <c r="AA115" i="1"/>
  <c r="Y115" i="1"/>
  <c r="U115" i="1"/>
  <c r="V115" i="1" s="1"/>
  <c r="T115" i="1"/>
  <c r="Z115" i="1" s="1"/>
  <c r="AA114" i="1"/>
  <c r="Y114" i="1"/>
  <c r="U114" i="1"/>
  <c r="V114" i="1" s="1"/>
  <c r="T114" i="1"/>
  <c r="Z114" i="1" s="1"/>
  <c r="AA113" i="1"/>
  <c r="Y113" i="1"/>
  <c r="U113" i="1"/>
  <c r="V113" i="1" s="1"/>
  <c r="T113" i="1"/>
  <c r="Z113" i="1" s="1"/>
  <c r="AA112" i="1"/>
  <c r="Y112" i="1"/>
  <c r="U112" i="1"/>
  <c r="V112" i="1" s="1"/>
  <c r="T112" i="1"/>
  <c r="Z112" i="1" s="1"/>
  <c r="AA111" i="1"/>
  <c r="Y111" i="1"/>
  <c r="U111" i="1"/>
  <c r="V111" i="1" s="1"/>
  <c r="T111" i="1"/>
  <c r="Z111" i="1" s="1"/>
  <c r="AA110" i="1"/>
  <c r="Y110" i="1"/>
  <c r="U110" i="1"/>
  <c r="V110" i="1" s="1"/>
  <c r="T110" i="1"/>
  <c r="Z110" i="1" s="1"/>
  <c r="AA109" i="1"/>
  <c r="Y109" i="1"/>
  <c r="U109" i="1"/>
  <c r="V109" i="1" s="1"/>
  <c r="T109" i="1"/>
  <c r="Z109" i="1" s="1"/>
  <c r="AA108" i="1"/>
  <c r="Y108" i="1"/>
  <c r="U108" i="1"/>
  <c r="V108" i="1" s="1"/>
  <c r="X108" i="1" s="1"/>
  <c r="T108" i="1"/>
  <c r="Z108" i="1" s="1"/>
  <c r="AA107" i="1"/>
  <c r="Y107" i="1"/>
  <c r="U107" i="1"/>
  <c r="V107" i="1" s="1"/>
  <c r="T107" i="1"/>
  <c r="Z107" i="1" s="1"/>
  <c r="AA106" i="1"/>
  <c r="Y106" i="1"/>
  <c r="U106" i="1"/>
  <c r="V106" i="1" s="1"/>
  <c r="T106" i="1"/>
  <c r="Z106" i="1" s="1"/>
  <c r="AA105" i="1"/>
  <c r="Y105" i="1"/>
  <c r="U105" i="1"/>
  <c r="V105" i="1" s="1"/>
  <c r="T105" i="1"/>
  <c r="Z105" i="1" s="1"/>
  <c r="AA104" i="1"/>
  <c r="Y104" i="1"/>
  <c r="U104" i="1"/>
  <c r="V104" i="1" s="1"/>
  <c r="X104" i="1" s="1"/>
  <c r="T104" i="1"/>
  <c r="Z104" i="1" s="1"/>
  <c r="AA103" i="1"/>
  <c r="Y103" i="1"/>
  <c r="U103" i="1"/>
  <c r="V103" i="1" s="1"/>
  <c r="T103" i="1"/>
  <c r="Z103" i="1" s="1"/>
  <c r="AA102" i="1"/>
  <c r="Y102" i="1"/>
  <c r="U102" i="1"/>
  <c r="V102" i="1" s="1"/>
  <c r="T102" i="1"/>
  <c r="Z102" i="1" s="1"/>
  <c r="AA101" i="1"/>
  <c r="Y101" i="1"/>
  <c r="U101" i="1"/>
  <c r="V101" i="1" s="1"/>
  <c r="T101" i="1"/>
  <c r="Z101" i="1" s="1"/>
  <c r="AA100" i="1"/>
  <c r="Y100" i="1"/>
  <c r="U100" i="1"/>
  <c r="V100" i="1" s="1"/>
  <c r="X100" i="1" s="1"/>
  <c r="T100" i="1"/>
  <c r="Z100" i="1" s="1"/>
  <c r="AA99" i="1"/>
  <c r="Y99" i="1"/>
  <c r="U99" i="1"/>
  <c r="V99" i="1" s="1"/>
  <c r="T99" i="1"/>
  <c r="Z99" i="1" s="1"/>
  <c r="AA98" i="1"/>
  <c r="Y98" i="1"/>
  <c r="U98" i="1"/>
  <c r="V98" i="1" s="1"/>
  <c r="T98" i="1"/>
  <c r="Z98" i="1" s="1"/>
  <c r="AA97" i="1"/>
  <c r="Y97" i="1"/>
  <c r="U97" i="1"/>
  <c r="V97" i="1" s="1"/>
  <c r="T97" i="1"/>
  <c r="Z97" i="1" s="1"/>
  <c r="AA96" i="1"/>
  <c r="Y96" i="1"/>
  <c r="U96" i="1"/>
  <c r="V96" i="1" s="1"/>
  <c r="X96" i="1" s="1"/>
  <c r="T96" i="1"/>
  <c r="Z96" i="1" s="1"/>
  <c r="AA95" i="1"/>
  <c r="Y95" i="1"/>
  <c r="U95" i="1"/>
  <c r="V95" i="1" s="1"/>
  <c r="T95" i="1"/>
  <c r="Z95" i="1" s="1"/>
  <c r="AA94" i="1"/>
  <c r="Y94" i="1"/>
  <c r="U94" i="1"/>
  <c r="V94" i="1" s="1"/>
  <c r="T94" i="1"/>
  <c r="Z94" i="1" s="1"/>
  <c r="AA93" i="1"/>
  <c r="Y93" i="1"/>
  <c r="U93" i="1"/>
  <c r="V93" i="1" s="1"/>
  <c r="T93" i="1"/>
  <c r="Z93" i="1" s="1"/>
  <c r="AA92" i="1"/>
  <c r="Y92" i="1"/>
  <c r="U92" i="1"/>
  <c r="V92" i="1" s="1"/>
  <c r="X92" i="1" s="1"/>
  <c r="T92" i="1"/>
  <c r="Z92" i="1" s="1"/>
  <c r="AA91" i="1"/>
  <c r="Y91" i="1"/>
  <c r="U91" i="1"/>
  <c r="V91" i="1" s="1"/>
  <c r="T91" i="1"/>
  <c r="Z91" i="1" s="1"/>
  <c r="AA90" i="1"/>
  <c r="Y90" i="1"/>
  <c r="U90" i="1"/>
  <c r="V90" i="1" s="1"/>
  <c r="T90" i="1"/>
  <c r="Z90" i="1" s="1"/>
  <c r="AA89" i="1"/>
  <c r="Y89" i="1"/>
  <c r="U89" i="1"/>
  <c r="V89" i="1" s="1"/>
  <c r="T89" i="1"/>
  <c r="Z89" i="1" s="1"/>
  <c r="AA88" i="1"/>
  <c r="Y88" i="1"/>
  <c r="U88" i="1"/>
  <c r="V88" i="1" s="1"/>
  <c r="X88" i="1" s="1"/>
  <c r="T88" i="1"/>
  <c r="Z88" i="1" s="1"/>
  <c r="AA87" i="1"/>
  <c r="Y87" i="1"/>
  <c r="U87" i="1"/>
  <c r="V87" i="1" s="1"/>
  <c r="T87" i="1"/>
  <c r="Z87" i="1" s="1"/>
  <c r="AA86" i="1"/>
  <c r="Y86" i="1"/>
  <c r="U86" i="1"/>
  <c r="V86" i="1" s="1"/>
  <c r="T86" i="1"/>
  <c r="Z86" i="1" s="1"/>
  <c r="AA85" i="1"/>
  <c r="Y85" i="1"/>
  <c r="U85" i="1"/>
  <c r="V85" i="1" s="1"/>
  <c r="T85" i="1"/>
  <c r="Z85" i="1" s="1"/>
  <c r="AA84" i="1"/>
  <c r="Y84" i="1"/>
  <c r="U84" i="1"/>
  <c r="V84" i="1" s="1"/>
  <c r="X84" i="1" s="1"/>
  <c r="T84" i="1"/>
  <c r="Z84" i="1" s="1"/>
  <c r="AA83" i="1"/>
  <c r="Y83" i="1"/>
  <c r="U83" i="1"/>
  <c r="V83" i="1" s="1"/>
  <c r="T83" i="1"/>
  <c r="Z83" i="1" s="1"/>
  <c r="AA82" i="1"/>
  <c r="Y82" i="1"/>
  <c r="U82" i="1"/>
  <c r="V82" i="1" s="1"/>
  <c r="T82" i="1"/>
  <c r="Z82" i="1" s="1"/>
  <c r="AA81" i="1"/>
  <c r="Y81" i="1"/>
  <c r="U81" i="1"/>
  <c r="V81" i="1" s="1"/>
  <c r="T81" i="1"/>
  <c r="Z81" i="1" s="1"/>
  <c r="AA80" i="1"/>
  <c r="Y80" i="1"/>
  <c r="U80" i="1"/>
  <c r="V80" i="1" s="1"/>
  <c r="X80" i="1" s="1"/>
  <c r="T80" i="1"/>
  <c r="Z80" i="1" s="1"/>
  <c r="AA79" i="1"/>
  <c r="Y79" i="1"/>
  <c r="U79" i="1"/>
  <c r="V79" i="1" s="1"/>
  <c r="T79" i="1"/>
  <c r="Z79" i="1" s="1"/>
  <c r="AA78" i="1"/>
  <c r="Y78" i="1"/>
  <c r="U78" i="1"/>
  <c r="V78" i="1" s="1"/>
  <c r="T78" i="1"/>
  <c r="Z78" i="1" s="1"/>
  <c r="AA77" i="1"/>
  <c r="Y77" i="1"/>
  <c r="U77" i="1"/>
  <c r="V77" i="1" s="1"/>
  <c r="T77" i="1"/>
  <c r="Z77" i="1" s="1"/>
  <c r="AA76" i="1"/>
  <c r="Y76" i="1"/>
  <c r="U76" i="1"/>
  <c r="V76" i="1" s="1"/>
  <c r="X76" i="1" s="1"/>
  <c r="T76" i="1"/>
  <c r="Z76" i="1" s="1"/>
  <c r="AA75" i="1"/>
  <c r="Y75" i="1"/>
  <c r="U75" i="1"/>
  <c r="V75" i="1" s="1"/>
  <c r="T75" i="1"/>
  <c r="Z75" i="1" s="1"/>
  <c r="AA74" i="1"/>
  <c r="Y74" i="1"/>
  <c r="U74" i="1"/>
  <c r="V74" i="1" s="1"/>
  <c r="T74" i="1"/>
  <c r="Z74" i="1" s="1"/>
  <c r="AA73" i="1"/>
  <c r="Y73" i="1"/>
  <c r="U73" i="1"/>
  <c r="V73" i="1" s="1"/>
  <c r="T73" i="1"/>
  <c r="Z73" i="1" s="1"/>
  <c r="AA72" i="1"/>
  <c r="Y72" i="1"/>
  <c r="U72" i="1"/>
  <c r="V72" i="1" s="1"/>
  <c r="X72" i="1" s="1"/>
  <c r="T72" i="1"/>
  <c r="Z72" i="1" s="1"/>
  <c r="AA71" i="1"/>
  <c r="Y71" i="1"/>
  <c r="U71" i="1"/>
  <c r="V71" i="1" s="1"/>
  <c r="T71" i="1"/>
  <c r="Z71" i="1" s="1"/>
  <c r="AA70" i="1"/>
  <c r="Y70" i="1"/>
  <c r="U70" i="1"/>
  <c r="V70" i="1" s="1"/>
  <c r="T70" i="1"/>
  <c r="Z70" i="1" s="1"/>
  <c r="AA69" i="1"/>
  <c r="Y69" i="1"/>
  <c r="U69" i="1"/>
  <c r="V69" i="1" s="1"/>
  <c r="T69" i="1"/>
  <c r="Z69" i="1" s="1"/>
  <c r="AA68" i="1"/>
  <c r="Y68" i="1"/>
  <c r="U68" i="1"/>
  <c r="V68" i="1" s="1"/>
  <c r="X68" i="1" s="1"/>
  <c r="T68" i="1"/>
  <c r="Z68" i="1" s="1"/>
  <c r="AA67" i="1"/>
  <c r="Y67" i="1"/>
  <c r="U67" i="1"/>
  <c r="V67" i="1" s="1"/>
  <c r="T67" i="1"/>
  <c r="Z67" i="1" s="1"/>
  <c r="AA66" i="1"/>
  <c r="Y66" i="1"/>
  <c r="U66" i="1"/>
  <c r="V66" i="1" s="1"/>
  <c r="T66" i="1"/>
  <c r="Z66" i="1" s="1"/>
  <c r="AA65" i="1"/>
  <c r="Y65" i="1"/>
  <c r="U65" i="1"/>
  <c r="V65" i="1" s="1"/>
  <c r="T65" i="1"/>
  <c r="Z65" i="1" s="1"/>
  <c r="AA64" i="1"/>
  <c r="Y64" i="1"/>
  <c r="U64" i="1"/>
  <c r="V64" i="1" s="1"/>
  <c r="X64" i="1" s="1"/>
  <c r="T64" i="1"/>
  <c r="Z64" i="1" s="1"/>
  <c r="AA63" i="1"/>
  <c r="Y63" i="1"/>
  <c r="U63" i="1"/>
  <c r="V63" i="1" s="1"/>
  <c r="T63" i="1"/>
  <c r="Z63" i="1" s="1"/>
  <c r="AA62" i="1"/>
  <c r="Y62" i="1"/>
  <c r="U62" i="1"/>
  <c r="V62" i="1" s="1"/>
  <c r="T62" i="1"/>
  <c r="Z62" i="1" s="1"/>
  <c r="AA61" i="1"/>
  <c r="Y61" i="1"/>
  <c r="U61" i="1"/>
  <c r="V61" i="1" s="1"/>
  <c r="T61" i="1"/>
  <c r="Z61" i="1" s="1"/>
  <c r="AA60" i="1"/>
  <c r="Y60" i="1"/>
  <c r="U60" i="1"/>
  <c r="V60" i="1" s="1"/>
  <c r="X60" i="1" s="1"/>
  <c r="T60" i="1"/>
  <c r="Z60" i="1" s="1"/>
  <c r="AA59" i="1"/>
  <c r="Y59" i="1"/>
  <c r="U59" i="1"/>
  <c r="V59" i="1" s="1"/>
  <c r="T59" i="1"/>
  <c r="Z59" i="1" s="1"/>
  <c r="AA58" i="1"/>
  <c r="Y58" i="1"/>
  <c r="U58" i="1"/>
  <c r="V58" i="1" s="1"/>
  <c r="T58" i="1"/>
  <c r="Z58" i="1" s="1"/>
  <c r="AA57" i="1"/>
  <c r="Y57" i="1"/>
  <c r="U57" i="1"/>
  <c r="V57" i="1" s="1"/>
  <c r="T57" i="1"/>
  <c r="Z57" i="1" s="1"/>
  <c r="AA56" i="1"/>
  <c r="Y56" i="1"/>
  <c r="U56" i="1"/>
  <c r="V56" i="1" s="1"/>
  <c r="X56" i="1" s="1"/>
  <c r="T56" i="1"/>
  <c r="Z56" i="1" s="1"/>
  <c r="AA55" i="1"/>
  <c r="Y55" i="1"/>
  <c r="U55" i="1"/>
  <c r="V55" i="1" s="1"/>
  <c r="T55" i="1"/>
  <c r="Z55" i="1" s="1"/>
  <c r="AA54" i="1"/>
  <c r="Y54" i="1"/>
  <c r="U54" i="1"/>
  <c r="V54" i="1" s="1"/>
  <c r="T54" i="1"/>
  <c r="Z54" i="1" s="1"/>
  <c r="AA53" i="1"/>
  <c r="Y53" i="1"/>
  <c r="U53" i="1"/>
  <c r="V53" i="1" s="1"/>
  <c r="T53" i="1"/>
  <c r="Z53" i="1" s="1"/>
  <c r="AA52" i="1"/>
  <c r="Y52" i="1"/>
  <c r="U52" i="1"/>
  <c r="V52" i="1" s="1"/>
  <c r="X52" i="1" s="1"/>
  <c r="T52" i="1"/>
  <c r="Z52" i="1" s="1"/>
  <c r="AA51" i="1"/>
  <c r="Y51" i="1"/>
  <c r="U51" i="1"/>
  <c r="V51" i="1" s="1"/>
  <c r="T51" i="1"/>
  <c r="Z51" i="1" s="1"/>
  <c r="AA50" i="1"/>
  <c r="Y50" i="1"/>
  <c r="U50" i="1"/>
  <c r="V50" i="1" s="1"/>
  <c r="T50" i="1"/>
  <c r="Z50" i="1" s="1"/>
  <c r="AA49" i="1"/>
  <c r="Y49" i="1"/>
  <c r="U49" i="1"/>
  <c r="V49" i="1" s="1"/>
  <c r="T49" i="1"/>
  <c r="Z49" i="1" s="1"/>
  <c r="AA48" i="1"/>
  <c r="Y48" i="1"/>
  <c r="U48" i="1"/>
  <c r="V48" i="1" s="1"/>
  <c r="X48" i="1" s="1"/>
  <c r="T48" i="1"/>
  <c r="Z48" i="1" s="1"/>
  <c r="AA47" i="1"/>
  <c r="Y47" i="1"/>
  <c r="U47" i="1"/>
  <c r="V47" i="1" s="1"/>
  <c r="T47" i="1"/>
  <c r="Z47" i="1" s="1"/>
  <c r="AA46" i="1"/>
  <c r="Y46" i="1"/>
  <c r="U46" i="1"/>
  <c r="V46" i="1" s="1"/>
  <c r="T46" i="1"/>
  <c r="Z46" i="1" s="1"/>
  <c r="AA45" i="1"/>
  <c r="Y45" i="1"/>
  <c r="U45" i="1"/>
  <c r="V45" i="1" s="1"/>
  <c r="T45" i="1"/>
  <c r="Z45" i="1" s="1"/>
  <c r="AA44" i="1"/>
  <c r="Y44" i="1"/>
  <c r="U44" i="1"/>
  <c r="V44" i="1" s="1"/>
  <c r="X44" i="1" s="1"/>
  <c r="T44" i="1"/>
  <c r="Z44" i="1" s="1"/>
  <c r="AA43" i="1"/>
  <c r="Y43" i="1"/>
  <c r="U43" i="1"/>
  <c r="V43" i="1" s="1"/>
  <c r="T43" i="1"/>
  <c r="Z43" i="1" s="1"/>
  <c r="AA42" i="1"/>
  <c r="Y42" i="1"/>
  <c r="U42" i="1"/>
  <c r="V42" i="1" s="1"/>
  <c r="T42" i="1"/>
  <c r="Z42" i="1" s="1"/>
  <c r="AA41" i="1"/>
  <c r="Y41" i="1"/>
  <c r="U41" i="1"/>
  <c r="V41" i="1" s="1"/>
  <c r="T41" i="1"/>
  <c r="Z41" i="1" s="1"/>
  <c r="AA40" i="1"/>
  <c r="Y40" i="1"/>
  <c r="U40" i="1"/>
  <c r="V40" i="1" s="1"/>
  <c r="X40" i="1" s="1"/>
  <c r="T40" i="1"/>
  <c r="Z40" i="1" s="1"/>
  <c r="AA39" i="1"/>
  <c r="Y39" i="1"/>
  <c r="U39" i="1"/>
  <c r="V39" i="1" s="1"/>
  <c r="T39" i="1"/>
  <c r="Z39" i="1" s="1"/>
  <c r="AA38" i="1"/>
  <c r="Y38" i="1"/>
  <c r="U38" i="1"/>
  <c r="V38" i="1" s="1"/>
  <c r="T38" i="1"/>
  <c r="Z38" i="1" s="1"/>
  <c r="AA37" i="1"/>
  <c r="Y37" i="1"/>
  <c r="U37" i="1"/>
  <c r="V37" i="1" s="1"/>
  <c r="T37" i="1"/>
  <c r="Z37" i="1" s="1"/>
  <c r="AA36" i="1"/>
  <c r="Y36" i="1"/>
  <c r="U36" i="1"/>
  <c r="V36" i="1" s="1"/>
  <c r="X36" i="1" s="1"/>
  <c r="T36" i="1"/>
  <c r="Z36" i="1" s="1"/>
  <c r="AA35" i="1"/>
  <c r="Y35" i="1"/>
  <c r="U35" i="1"/>
  <c r="V35" i="1" s="1"/>
  <c r="T35" i="1"/>
  <c r="Z35" i="1" s="1"/>
  <c r="AA34" i="1"/>
  <c r="Y34" i="1"/>
  <c r="U34" i="1"/>
  <c r="V34" i="1" s="1"/>
  <c r="T34" i="1"/>
  <c r="Z34" i="1" s="1"/>
  <c r="AA33" i="1"/>
  <c r="Y33" i="1"/>
  <c r="U33" i="1"/>
  <c r="V33" i="1" s="1"/>
  <c r="T33" i="1"/>
  <c r="Z33" i="1" s="1"/>
  <c r="AA32" i="1"/>
  <c r="Y32" i="1"/>
  <c r="U32" i="1"/>
  <c r="V32" i="1" s="1"/>
  <c r="X32" i="1" s="1"/>
  <c r="T32" i="1"/>
  <c r="Z32" i="1" s="1"/>
  <c r="AA31" i="1"/>
  <c r="Y31" i="1"/>
  <c r="U31" i="1"/>
  <c r="V31" i="1" s="1"/>
  <c r="T31" i="1"/>
  <c r="Z31" i="1" s="1"/>
  <c r="AA30" i="1"/>
  <c r="Y30" i="1"/>
  <c r="U30" i="1"/>
  <c r="V30" i="1" s="1"/>
  <c r="T30" i="1"/>
  <c r="Z30" i="1" s="1"/>
  <c r="AA29" i="1"/>
  <c r="Y29" i="1"/>
  <c r="U29" i="1"/>
  <c r="V29" i="1" s="1"/>
  <c r="T29" i="1"/>
  <c r="Z29" i="1" s="1"/>
  <c r="AA28" i="1"/>
  <c r="Y28" i="1"/>
  <c r="U28" i="1"/>
  <c r="V28" i="1" s="1"/>
  <c r="X28" i="1" s="1"/>
  <c r="T28" i="1"/>
  <c r="Z28" i="1" s="1"/>
  <c r="AA27" i="1"/>
  <c r="Y27" i="1"/>
  <c r="U27" i="1"/>
  <c r="V27" i="1" s="1"/>
  <c r="T27" i="1"/>
  <c r="Z27" i="1" s="1"/>
  <c r="AA26" i="1"/>
  <c r="Y26" i="1"/>
  <c r="U26" i="1"/>
  <c r="V26" i="1" s="1"/>
  <c r="T26" i="1"/>
  <c r="Z26" i="1" s="1"/>
  <c r="AA25" i="1"/>
  <c r="Y25" i="1"/>
  <c r="U25" i="1"/>
  <c r="V25" i="1" s="1"/>
  <c r="T25" i="1"/>
  <c r="Z25" i="1" s="1"/>
  <c r="AA24" i="1"/>
  <c r="Y24" i="1"/>
  <c r="U24" i="1"/>
  <c r="V24" i="1" s="1"/>
  <c r="X24" i="1" s="1"/>
  <c r="T24" i="1"/>
  <c r="Z24" i="1" s="1"/>
  <c r="AA23" i="1"/>
  <c r="Y23" i="1"/>
  <c r="U23" i="1"/>
  <c r="V23" i="1" s="1"/>
  <c r="T23" i="1"/>
  <c r="Z23" i="1" s="1"/>
  <c r="AA22" i="1"/>
  <c r="Y22" i="1"/>
  <c r="U22" i="1"/>
  <c r="V22" i="1" s="1"/>
  <c r="T22" i="1"/>
  <c r="Z22" i="1" s="1"/>
  <c r="AA21" i="1"/>
  <c r="Y21" i="1"/>
  <c r="U21" i="1"/>
  <c r="V21" i="1" s="1"/>
  <c r="T21" i="1"/>
  <c r="Z21" i="1" s="1"/>
  <c r="AA20" i="1"/>
  <c r="Y20" i="1"/>
  <c r="U20" i="1"/>
  <c r="V20" i="1" s="1"/>
  <c r="X20" i="1" s="1"/>
  <c r="T20" i="1"/>
  <c r="Z20" i="1" s="1"/>
  <c r="AA19" i="1"/>
  <c r="Y19" i="1"/>
  <c r="U19" i="1"/>
  <c r="V19" i="1" s="1"/>
  <c r="T19" i="1"/>
  <c r="Z19" i="1" s="1"/>
  <c r="AA18" i="1"/>
  <c r="Y18" i="1"/>
  <c r="U18" i="1"/>
  <c r="V18" i="1" s="1"/>
  <c r="T18" i="1"/>
  <c r="Z18" i="1" s="1"/>
  <c r="AA17" i="1"/>
  <c r="Y17" i="1"/>
  <c r="U17" i="1"/>
  <c r="V17" i="1" s="1"/>
  <c r="T17" i="1"/>
  <c r="Z17" i="1" s="1"/>
  <c r="AA16" i="1"/>
  <c r="Y16" i="1"/>
  <c r="U16" i="1"/>
  <c r="V16" i="1" s="1"/>
  <c r="X16" i="1" s="1"/>
  <c r="T16" i="1"/>
  <c r="Z16" i="1" s="1"/>
  <c r="AA15" i="1"/>
  <c r="Y15" i="1"/>
  <c r="U15" i="1"/>
  <c r="V15" i="1" s="1"/>
  <c r="T15" i="1"/>
  <c r="Z15" i="1" s="1"/>
  <c r="AA14" i="1"/>
  <c r="Y14" i="1"/>
  <c r="U14" i="1"/>
  <c r="V14" i="1" s="1"/>
  <c r="T14" i="1"/>
  <c r="Z14" i="1" s="1"/>
  <c r="AA13" i="1"/>
  <c r="Y13" i="1"/>
  <c r="U13" i="1"/>
  <c r="V13" i="1" s="1"/>
  <c r="T13" i="1"/>
  <c r="Z13" i="1" s="1"/>
  <c r="AA12" i="1"/>
  <c r="Y12" i="1"/>
  <c r="U12" i="1"/>
  <c r="V12" i="1" s="1"/>
  <c r="X12" i="1" s="1"/>
  <c r="T12" i="1"/>
  <c r="Z12" i="1" s="1"/>
  <c r="AA11" i="1"/>
  <c r="Y11" i="1"/>
  <c r="U11" i="1"/>
  <c r="V11" i="1" s="1"/>
  <c r="T11" i="1"/>
  <c r="Z11" i="1" s="1"/>
  <c r="AA10" i="1"/>
  <c r="Y10" i="1"/>
  <c r="U10" i="1"/>
  <c r="V10" i="1" s="1"/>
  <c r="T10" i="1"/>
  <c r="Z10" i="1" s="1"/>
  <c r="AA9" i="1"/>
  <c r="Y9" i="1"/>
  <c r="U9" i="1"/>
  <c r="V9" i="1" s="1"/>
  <c r="T9" i="1"/>
  <c r="Z9" i="1" s="1"/>
  <c r="AA8" i="1"/>
  <c r="Y8" i="1"/>
  <c r="U8" i="1"/>
  <c r="V8" i="1" s="1"/>
  <c r="X8" i="1" s="1"/>
  <c r="T8" i="1"/>
  <c r="Z8" i="1" s="1"/>
  <c r="AA7" i="1"/>
  <c r="Y7" i="1"/>
  <c r="U7" i="1"/>
  <c r="V7" i="1" s="1"/>
  <c r="T7" i="1"/>
  <c r="Z7" i="1" s="1"/>
  <c r="AA6" i="1"/>
  <c r="Y6" i="1"/>
  <c r="U6" i="1"/>
  <c r="V6" i="1" s="1"/>
  <c r="T6" i="1"/>
  <c r="Z6" i="1" s="1"/>
  <c r="AA5" i="1"/>
  <c r="Y5" i="1"/>
  <c r="U5" i="1"/>
  <c r="V5" i="1" s="1"/>
  <c r="T5" i="1"/>
  <c r="Z5" i="1" s="1"/>
  <c r="AA4" i="1"/>
  <c r="Y4" i="1"/>
  <c r="U4" i="1"/>
  <c r="V4" i="1" s="1"/>
  <c r="X4" i="1" s="1"/>
  <c r="T4" i="1"/>
  <c r="Z4" i="1" s="1"/>
  <c r="AA3" i="1"/>
  <c r="Y3" i="1"/>
  <c r="U3" i="1"/>
  <c r="V3" i="1" s="1"/>
  <c r="T3" i="1"/>
  <c r="Z3" i="1" s="1"/>
  <c r="AA2" i="1"/>
  <c r="Y2" i="1"/>
  <c r="U2" i="1"/>
  <c r="N11" i="2" s="1"/>
  <c r="T2" i="1"/>
  <c r="X342" i="1" l="1"/>
  <c r="X309" i="1"/>
  <c r="X493" i="1"/>
  <c r="X350" i="1"/>
  <c r="X462" i="1"/>
  <c r="X306" i="1"/>
  <c r="X365" i="1"/>
  <c r="X421" i="1"/>
  <c r="X477" i="1"/>
  <c r="X181" i="1"/>
  <c r="X205" i="1"/>
  <c r="X221" i="1"/>
  <c r="X241" i="1"/>
  <c r="X249" i="1"/>
  <c r="X253" i="1"/>
  <c r="X368" i="1"/>
  <c r="X384" i="1"/>
  <c r="X408" i="1"/>
  <c r="X412" i="1"/>
  <c r="X226" i="1"/>
  <c r="X182" i="1"/>
  <c r="X297" i="1"/>
  <c r="X265" i="1"/>
  <c r="X233" i="1"/>
  <c r="X201" i="1"/>
  <c r="X130" i="1"/>
  <c r="X134" i="1"/>
  <c r="X142" i="1"/>
  <c r="X173" i="1"/>
  <c r="X185" i="1"/>
  <c r="X197" i="1"/>
  <c r="X257" i="1"/>
  <c r="X289" i="1"/>
  <c r="X325" i="1"/>
  <c r="X397" i="1"/>
  <c r="X453" i="1"/>
  <c r="X374" i="1"/>
  <c r="X6" i="1"/>
  <c r="X10" i="1"/>
  <c r="X14" i="1"/>
  <c r="X18" i="1"/>
  <c r="X22" i="1"/>
  <c r="X26" i="1"/>
  <c r="X30" i="1"/>
  <c r="X34" i="1"/>
  <c r="X38" i="1"/>
  <c r="X42" i="1"/>
  <c r="X46" i="1"/>
  <c r="X50" i="1"/>
  <c r="X54" i="1"/>
  <c r="X58" i="1"/>
  <c r="X62" i="1"/>
  <c r="X66" i="1"/>
  <c r="X70" i="1"/>
  <c r="X74" i="1"/>
  <c r="X78" i="1"/>
  <c r="X82" i="1"/>
  <c r="X86" i="1"/>
  <c r="X90" i="1"/>
  <c r="X94" i="1"/>
  <c r="X98" i="1"/>
  <c r="X102" i="1"/>
  <c r="X106" i="1"/>
  <c r="X110" i="1"/>
  <c r="X114" i="1"/>
  <c r="X118" i="1"/>
  <c r="X154" i="1"/>
  <c r="X158" i="1"/>
  <c r="X213" i="1"/>
  <c r="X217" i="1"/>
  <c r="X237" i="1"/>
  <c r="X269" i="1"/>
  <c r="X298" i="1"/>
  <c r="X357" i="1"/>
  <c r="X429" i="1"/>
  <c r="X472" i="1"/>
  <c r="X473" i="1"/>
  <c r="X168" i="1"/>
  <c r="X180" i="1"/>
  <c r="X212" i="1"/>
  <c r="X483" i="1"/>
  <c r="X491" i="1"/>
  <c r="X495" i="1"/>
  <c r="X144" i="1"/>
  <c r="X295" i="1"/>
  <c r="X124" i="1"/>
  <c r="X127" i="1"/>
  <c r="X131" i="1"/>
  <c r="X135" i="1"/>
  <c r="X138" i="1"/>
  <c r="X189" i="1"/>
  <c r="X210" i="1"/>
  <c r="X243" i="1"/>
  <c r="X247" i="1"/>
  <c r="X275" i="1"/>
  <c r="X279" i="1"/>
  <c r="X326" i="1"/>
  <c r="X358" i="1"/>
  <c r="X388" i="1"/>
  <c r="X420" i="1"/>
  <c r="X452" i="1"/>
  <c r="X115" i="1"/>
  <c r="X119" i="1"/>
  <c r="X122" i="1"/>
  <c r="X128" i="1"/>
  <c r="X143" i="1"/>
  <c r="X153" i="1"/>
  <c r="X198" i="1"/>
  <c r="X214" i="1"/>
  <c r="X219" i="1"/>
  <c r="X228" i="1"/>
  <c r="X229" i="1"/>
  <c r="X232" i="1"/>
  <c r="X235" i="1"/>
  <c r="X245" i="1"/>
  <c r="X248" i="1"/>
  <c r="X251" i="1"/>
  <c r="X261" i="1"/>
  <c r="X264" i="1"/>
  <c r="X267" i="1"/>
  <c r="X277" i="1"/>
  <c r="X280" i="1"/>
  <c r="X283" i="1"/>
  <c r="X293" i="1"/>
  <c r="X303" i="1"/>
  <c r="X304" i="1"/>
  <c r="X307" i="1"/>
  <c r="X315" i="1"/>
  <c r="X318" i="1"/>
  <c r="X322" i="1"/>
  <c r="X349" i="1"/>
  <c r="X372" i="1"/>
  <c r="X381" i="1"/>
  <c r="X404" i="1"/>
  <c r="X413" i="1"/>
  <c r="X436" i="1"/>
  <c r="X445" i="1"/>
  <c r="X481" i="1"/>
  <c r="X485" i="1"/>
  <c r="X489" i="1"/>
  <c r="X290" i="1"/>
  <c r="X301" i="1"/>
  <c r="X312" i="1"/>
  <c r="X334" i="1"/>
  <c r="X341" i="1"/>
  <c r="X360" i="1"/>
  <c r="X364" i="1"/>
  <c r="X366" i="1"/>
  <c r="X373" i="1"/>
  <c r="X375" i="1"/>
  <c r="X392" i="1"/>
  <c r="X396" i="1"/>
  <c r="X405" i="1"/>
  <c r="X424" i="1"/>
  <c r="X428" i="1"/>
  <c r="X437" i="1"/>
  <c r="X456" i="1"/>
  <c r="X460" i="1"/>
  <c r="X474" i="1"/>
  <c r="X478" i="1"/>
  <c r="X490" i="1"/>
  <c r="X494" i="1"/>
  <c r="X3" i="1"/>
  <c r="X7" i="1"/>
  <c r="X11" i="1"/>
  <c r="X15" i="1"/>
  <c r="X19" i="1"/>
  <c r="X23" i="1"/>
  <c r="X27" i="1"/>
  <c r="X31" i="1"/>
  <c r="X35" i="1"/>
  <c r="X39" i="1"/>
  <c r="X43" i="1"/>
  <c r="X47" i="1"/>
  <c r="X51" i="1"/>
  <c r="X55" i="1"/>
  <c r="X59" i="1"/>
  <c r="X63" i="1"/>
  <c r="X67" i="1"/>
  <c r="X71" i="1"/>
  <c r="X75" i="1"/>
  <c r="X79" i="1"/>
  <c r="X83" i="1"/>
  <c r="X87" i="1"/>
  <c r="X91" i="1"/>
  <c r="X95" i="1"/>
  <c r="X99" i="1"/>
  <c r="X103" i="1"/>
  <c r="X107" i="1"/>
  <c r="X111" i="1"/>
  <c r="X139" i="1"/>
  <c r="X145" i="1"/>
  <c r="X148" i="1"/>
  <c r="X177" i="1"/>
  <c r="X184" i="1"/>
  <c r="X191" i="1"/>
  <c r="X194" i="1"/>
  <c r="X207" i="1"/>
  <c r="X216" i="1"/>
  <c r="X225" i="1"/>
  <c r="X242" i="1"/>
  <c r="X258" i="1"/>
  <c r="X274" i="1"/>
  <c r="V2" i="1"/>
  <c r="N7" i="2" s="1"/>
  <c r="N5" i="2"/>
  <c r="X5" i="1"/>
  <c r="X9" i="1"/>
  <c r="X13" i="1"/>
  <c r="X17" i="1"/>
  <c r="X21" i="1"/>
  <c r="X25" i="1"/>
  <c r="X29" i="1"/>
  <c r="X33" i="1"/>
  <c r="X37" i="1"/>
  <c r="X41" i="1"/>
  <c r="X45" i="1"/>
  <c r="X49" i="1"/>
  <c r="X53" i="1"/>
  <c r="X57" i="1"/>
  <c r="X61" i="1"/>
  <c r="X65" i="1"/>
  <c r="X69" i="1"/>
  <c r="X73" i="1"/>
  <c r="X77" i="1"/>
  <c r="X81" i="1"/>
  <c r="X85" i="1"/>
  <c r="X89" i="1"/>
  <c r="X93" i="1"/>
  <c r="X97" i="1"/>
  <c r="X101" i="1"/>
  <c r="X105" i="1"/>
  <c r="X109" i="1"/>
  <c r="X113" i="1"/>
  <c r="X117" i="1"/>
  <c r="X123" i="1"/>
  <c r="X129" i="1"/>
  <c r="X132" i="1"/>
  <c r="X155" i="1"/>
  <c r="X161" i="1"/>
  <c r="X164" i="1"/>
  <c r="X170" i="1"/>
  <c r="X175" i="1"/>
  <c r="X178" i="1"/>
  <c r="X193" i="1"/>
  <c r="X200" i="1"/>
  <c r="X209" i="1"/>
  <c r="X223" i="1"/>
  <c r="X234" i="1"/>
  <c r="X250" i="1"/>
  <c r="X266" i="1"/>
  <c r="X282" i="1"/>
  <c r="X461" i="1"/>
  <c r="X172" i="1"/>
  <c r="X179" i="1"/>
  <c r="X186" i="1"/>
  <c r="X188" i="1"/>
  <c r="X195" i="1"/>
  <c r="X202" i="1"/>
  <c r="X204" i="1"/>
  <c r="X211" i="1"/>
  <c r="X218" i="1"/>
  <c r="X220" i="1"/>
  <c r="X227" i="1"/>
  <c r="X294" i="1"/>
  <c r="X302" i="1"/>
  <c r="X310" i="1"/>
  <c r="X313" i="1"/>
  <c r="X330" i="1"/>
  <c r="X338" i="1"/>
  <c r="X346" i="1"/>
  <c r="X354" i="1"/>
  <c r="X362" i="1"/>
  <c r="X370" i="1"/>
  <c r="X486" i="1"/>
  <c r="X496" i="1"/>
  <c r="X499" i="1"/>
  <c r="X500" i="1"/>
  <c r="X112" i="1"/>
  <c r="X116" i="1"/>
  <c r="X125" i="1"/>
  <c r="X133" i="1"/>
  <c r="X141" i="1"/>
  <c r="X149" i="1"/>
  <c r="X157" i="1"/>
  <c r="X165" i="1"/>
  <c r="X174" i="1"/>
  <c r="X176" i="1"/>
  <c r="X183" i="1"/>
  <c r="X190" i="1"/>
  <c r="X192" i="1"/>
  <c r="X199" i="1"/>
  <c r="X206" i="1"/>
  <c r="X208" i="1"/>
  <c r="X215" i="1"/>
  <c r="X222" i="1"/>
  <c r="X224" i="1"/>
  <c r="X236" i="1"/>
  <c r="X244" i="1"/>
  <c r="X252" i="1"/>
  <c r="X260" i="1"/>
  <c r="X268" i="1"/>
  <c r="X276" i="1"/>
  <c r="X284" i="1"/>
  <c r="X292" i="1"/>
  <c r="X300" i="1"/>
  <c r="X308" i="1"/>
  <c r="X314" i="1"/>
  <c r="X317" i="1"/>
  <c r="X321" i="1"/>
  <c r="X329" i="1"/>
  <c r="X337" i="1"/>
  <c r="X345" i="1"/>
  <c r="X353" i="1"/>
  <c r="X361" i="1"/>
  <c r="X363" i="1"/>
  <c r="X369" i="1"/>
  <c r="X371" i="1"/>
  <c r="X377" i="1"/>
  <c r="X385" i="1"/>
  <c r="X393" i="1"/>
  <c r="X401" i="1"/>
  <c r="X409" i="1"/>
  <c r="X417" i="1"/>
  <c r="X425" i="1"/>
  <c r="X433" i="1"/>
  <c r="X441" i="1"/>
  <c r="X449" i="1"/>
  <c r="X457" i="1"/>
  <c r="X480" i="1"/>
  <c r="X484" i="1"/>
  <c r="X487" i="1"/>
  <c r="X466" i="1"/>
  <c r="X469" i="1"/>
  <c r="X470" i="1"/>
  <c r="X475" i="1"/>
  <c r="X476" i="1"/>
  <c r="X482" i="1"/>
  <c r="X488" i="1"/>
  <c r="X497" i="1"/>
  <c r="X498" i="1"/>
  <c r="X501" i="1"/>
  <c r="Z2" i="1"/>
  <c r="X230" i="1"/>
  <c r="X238" i="1"/>
  <c r="X246" i="1"/>
  <c r="X254" i="1"/>
  <c r="X262" i="1"/>
  <c r="X270" i="1"/>
  <c r="X278" i="1"/>
  <c r="X286" i="1"/>
  <c r="X316" i="1"/>
  <c r="X319" i="1"/>
  <c r="X323" i="1"/>
  <c r="X327" i="1"/>
  <c r="X331" i="1"/>
  <c r="X335" i="1"/>
  <c r="X339" i="1"/>
  <c r="X343" i="1"/>
  <c r="X347" i="1"/>
  <c r="X351" i="1"/>
  <c r="X355" i="1"/>
  <c r="X320" i="1"/>
  <c r="X324" i="1"/>
  <c r="X328" i="1"/>
  <c r="X332" i="1"/>
  <c r="X336" i="1"/>
  <c r="X340" i="1"/>
  <c r="X344" i="1"/>
  <c r="X348" i="1"/>
  <c r="X352" i="1"/>
  <c r="X356" i="1"/>
  <c r="X379" i="1"/>
  <c r="X383" i="1"/>
  <c r="X387" i="1"/>
  <c r="X391" i="1"/>
  <c r="X395" i="1"/>
  <c r="X399" i="1"/>
  <c r="X403" i="1"/>
  <c r="X407" i="1"/>
  <c r="X411" i="1"/>
  <c r="X415" i="1"/>
  <c r="X419" i="1"/>
  <c r="X423" i="1"/>
  <c r="X427" i="1"/>
  <c r="X431" i="1"/>
  <c r="X435" i="1"/>
  <c r="X439" i="1"/>
  <c r="X443" i="1"/>
  <c r="X447" i="1"/>
  <c r="X451" i="1"/>
  <c r="X455" i="1"/>
  <c r="X459" i="1"/>
  <c r="X378" i="1"/>
  <c r="X382" i="1"/>
  <c r="X386" i="1"/>
  <c r="X390" i="1"/>
  <c r="X394" i="1"/>
  <c r="X398" i="1"/>
  <c r="X402" i="1"/>
  <c r="X406" i="1"/>
  <c r="X410" i="1"/>
  <c r="X414" i="1"/>
  <c r="X418" i="1"/>
  <c r="X422" i="1"/>
  <c r="X426" i="1"/>
  <c r="X430" i="1"/>
  <c r="X434" i="1"/>
  <c r="X438" i="1"/>
  <c r="X442" i="1"/>
  <c r="X446" i="1"/>
  <c r="X450" i="1"/>
  <c r="X454" i="1"/>
  <c r="X458" i="1"/>
  <c r="X2" i="1" l="1"/>
  <c r="N9" i="2" s="1"/>
  <c r="D10" i="2" l="1" a="1"/>
  <c r="D10" i="2" s="1"/>
  <c r="I10" i="2" a="1"/>
  <c r="I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<sst xmlns="http://schemas.openxmlformats.org/spreadsheetml/2006/main" count="6299" uniqueCount="2179">
  <si>
    <t>Customer_ID</t>
  </si>
  <si>
    <t>First_Name</t>
  </si>
  <si>
    <t>Last_Name</t>
  </si>
  <si>
    <t>Age</t>
  </si>
  <si>
    <t>Gender</t>
  </si>
  <si>
    <t>City</t>
  </si>
  <si>
    <t>Email</t>
  </si>
  <si>
    <t>Address</t>
  </si>
  <si>
    <t>Order_ID</t>
  </si>
  <si>
    <t>Order_Date</t>
  </si>
  <si>
    <t>Order_Time</t>
  </si>
  <si>
    <t>Product_ID</t>
  </si>
  <si>
    <t>Price</t>
  </si>
  <si>
    <t>Quantity</t>
  </si>
  <si>
    <t>Coupon_Code</t>
  </si>
  <si>
    <t>Estimated_Days_to_Deliver</t>
  </si>
  <si>
    <t>Delivery_Charge</t>
  </si>
  <si>
    <t>Delivery_Date</t>
  </si>
  <si>
    <t>Delivery_Time</t>
  </si>
  <si>
    <t>Days_to_Deliver</t>
  </si>
  <si>
    <t>Amount</t>
  </si>
  <si>
    <t>Discount_Percent</t>
  </si>
  <si>
    <t>Final_Amount</t>
  </si>
  <si>
    <t>Full_Name</t>
  </si>
  <si>
    <t>IsLateDelivery</t>
  </si>
  <si>
    <t>Email_Domain</t>
  </si>
  <si>
    <t>CID186</t>
  </si>
  <si>
    <t>Anne</t>
  </si>
  <si>
    <t>Oconnell</t>
  </si>
  <si>
    <t>Male</t>
  </si>
  <si>
    <t>Phoenix</t>
  </si>
  <si>
    <t>anne.oconnell@outlook.com</t>
  </si>
  <si>
    <t>2850 Matthew Ford, North Yolandachester, FL 67488</t>
  </si>
  <si>
    <t>OID2497</t>
  </si>
  <si>
    <t>18:16:33</t>
  </si>
  <si>
    <t>PID022</t>
  </si>
  <si>
    <t>FLAT8</t>
  </si>
  <si>
    <t>08:51:31</t>
  </si>
  <si>
    <t>CID150</t>
  </si>
  <si>
    <t>Anthony</t>
  </si>
  <si>
    <t>Thomas</t>
  </si>
  <si>
    <t>Female</t>
  </si>
  <si>
    <t>Houston</t>
  </si>
  <si>
    <t>anthony.thomas@rediffmail.com</t>
  </si>
  <si>
    <t>931 Christopher Ways Suite 833, North Michelle, IN 53484</t>
  </si>
  <si>
    <t>OID7056</t>
  </si>
  <si>
    <t>01:46:33</t>
  </si>
  <si>
    <t>PID015</t>
  </si>
  <si>
    <t>18:46:26</t>
  </si>
  <si>
    <t>CID115</t>
  </si>
  <si>
    <t>Karl</t>
  </si>
  <si>
    <t>Gallagher</t>
  </si>
  <si>
    <t>Other</t>
  </si>
  <si>
    <t>karl.gallagher@rediffmail.com</t>
  </si>
  <si>
    <t>5016 Snow Mountains Apt. 063, New Seanport, WY 41492</t>
  </si>
  <si>
    <t>OID7502</t>
  </si>
  <si>
    <t>07:31:36</t>
  </si>
  <si>
    <t>PID023</t>
  </si>
  <si>
    <t>FLAT15</t>
  </si>
  <si>
    <t>14:29:50</t>
  </si>
  <si>
    <t>OID7077</t>
  </si>
  <si>
    <t>18:29:21</t>
  </si>
  <si>
    <t>PID031</t>
  </si>
  <si>
    <t>DEL0</t>
  </si>
  <si>
    <t>07:00:32</t>
  </si>
  <si>
    <t>CID149</t>
  </si>
  <si>
    <t>Angela</t>
  </si>
  <si>
    <t>Horne</t>
  </si>
  <si>
    <t>angela.horne@outlook.com</t>
  </si>
  <si>
    <t>USNV Mueller, FPO AP 54648</t>
  </si>
  <si>
    <t>OID2793</t>
  </si>
  <si>
    <t>03:23:21</t>
  </si>
  <si>
    <t>22:10:58</t>
  </si>
  <si>
    <t>CID159</t>
  </si>
  <si>
    <t>Christine</t>
  </si>
  <si>
    <t>West</t>
  </si>
  <si>
    <t>New York</t>
  </si>
  <si>
    <t>christine.west@gmail.com</t>
  </si>
  <si>
    <t>Unit 1433 Box 0246, DPO AP 94952</t>
  </si>
  <si>
    <t>OID1483</t>
  </si>
  <si>
    <t>16:55:06</t>
  </si>
  <si>
    <t>PID043</t>
  </si>
  <si>
    <t>11:25:50</t>
  </si>
  <si>
    <t>OID4105</t>
  </si>
  <si>
    <t>09:47:21</t>
  </si>
  <si>
    <t>FLAT20</t>
  </si>
  <si>
    <t>20:10:50</t>
  </si>
  <si>
    <t>CID198</t>
  </si>
  <si>
    <t>David</t>
  </si>
  <si>
    <t>Delacruz</t>
  </si>
  <si>
    <t>Los Angeles</t>
  </si>
  <si>
    <t>david.delacruz@rediffmail.com</t>
  </si>
  <si>
    <t>USNS Ray, FPO AE 20238</t>
  </si>
  <si>
    <t>OID4372</t>
  </si>
  <si>
    <t>19:27:45</t>
  </si>
  <si>
    <t>PID046</t>
  </si>
  <si>
    <t>FLAT10</t>
  </si>
  <si>
    <t>12:36:32</t>
  </si>
  <si>
    <t>CID152</t>
  </si>
  <si>
    <t>Marcus</t>
  </si>
  <si>
    <t>Valenzuela</t>
  </si>
  <si>
    <t>marcus.valenzuela@yahoo.com</t>
  </si>
  <si>
    <t>694 Graham Prairie Apt. 887, Jimenezfurt, MI 33044</t>
  </si>
  <si>
    <t>OID3528</t>
  </si>
  <si>
    <t>12:07:00</t>
  </si>
  <si>
    <t>PID034</t>
  </si>
  <si>
    <t>23:05:41</t>
  </si>
  <si>
    <t>CID130</t>
  </si>
  <si>
    <t>Debra</t>
  </si>
  <si>
    <t>Rodriguez</t>
  </si>
  <si>
    <t>debra.rodriguez@rediffmail.com</t>
  </si>
  <si>
    <t>Unit 5964 Box 0721, DPO AP 01840</t>
  </si>
  <si>
    <t>OID9634</t>
  </si>
  <si>
    <t>13:46:47</t>
  </si>
  <si>
    <t>PID033</t>
  </si>
  <si>
    <t>19:57:06</t>
  </si>
  <si>
    <t>OID1905</t>
  </si>
  <si>
    <t>17:21:43</t>
  </si>
  <si>
    <t>08:00:35</t>
  </si>
  <si>
    <t>CID101</t>
  </si>
  <si>
    <t>Bobby</t>
  </si>
  <si>
    <t>Forbes</t>
  </si>
  <si>
    <t>bobby.forbes@gmail.com</t>
  </si>
  <si>
    <t>3079 John Parkway Suite 961, Port Kristaview, MT 91019</t>
  </si>
  <si>
    <t>OID3136</t>
  </si>
  <si>
    <t>15:09:49</t>
  </si>
  <si>
    <t>PID007</t>
  </si>
  <si>
    <t>22:54:40</t>
  </si>
  <si>
    <t>CID105</t>
  </si>
  <si>
    <t>Joseph</t>
  </si>
  <si>
    <t>Stewart</t>
  </si>
  <si>
    <t>joseph.stewart@yahoo.com</t>
  </si>
  <si>
    <t>4082 Wang Terrace Suite 040, Victorialand, ME 41532</t>
  </si>
  <si>
    <t>OID6886</t>
  </si>
  <si>
    <t>22:42:51</t>
  </si>
  <si>
    <t>PID042</t>
  </si>
  <si>
    <t>13:19:45</t>
  </si>
  <si>
    <t>CID172</t>
  </si>
  <si>
    <t>Kara</t>
  </si>
  <si>
    <t>Brennan</t>
  </si>
  <si>
    <t>Miami</t>
  </si>
  <si>
    <t>kara.brennan@outlook.com</t>
  </si>
  <si>
    <t>2174 Thomas Avenue, Maciasborough, NJ 41465</t>
  </si>
  <si>
    <t>OID3509</t>
  </si>
  <si>
    <t>14:52:54</t>
  </si>
  <si>
    <t>PID047</t>
  </si>
  <si>
    <t>15:16:54</t>
  </si>
  <si>
    <t>CID178</t>
  </si>
  <si>
    <t>Amy</t>
  </si>
  <si>
    <t>Reid</t>
  </si>
  <si>
    <t>amy.reid@rediffmail.com</t>
  </si>
  <si>
    <t>6262 Simpson Village, North Danielle, RI 76074</t>
  </si>
  <si>
    <t>OID3689</t>
  </si>
  <si>
    <t>01:19:56</t>
  </si>
  <si>
    <t>PID039</t>
  </si>
  <si>
    <t>21:47:03</t>
  </si>
  <si>
    <t>CID176</t>
  </si>
  <si>
    <t>Joshua</t>
  </si>
  <si>
    <t>Campbell</t>
  </si>
  <si>
    <t>Chicago</t>
  </si>
  <si>
    <t>joshua.campbell@gmail.com</t>
  </si>
  <si>
    <t>70426 Lindsey Overpass Apt. 030, Jessicafurt, AR 46269</t>
  </si>
  <si>
    <t>OID1911</t>
  </si>
  <si>
    <t>04:13:27</t>
  </si>
  <si>
    <t>11:25:46</t>
  </si>
  <si>
    <t>CID148</t>
  </si>
  <si>
    <t>Erin</t>
  </si>
  <si>
    <t>Miller</t>
  </si>
  <si>
    <t>San Francisco</t>
  </si>
  <si>
    <t>erin.miller@gmail.com</t>
  </si>
  <si>
    <t>65972 Peterson Route, Port Andrewfurt, SD 32892</t>
  </si>
  <si>
    <t>OID6520</t>
  </si>
  <si>
    <t>23:53:21</t>
  </si>
  <si>
    <t>PID014</t>
  </si>
  <si>
    <t>12:55:59</t>
  </si>
  <si>
    <t>CID137</t>
  </si>
  <si>
    <t>Gina</t>
  </si>
  <si>
    <t>Moreno</t>
  </si>
  <si>
    <t>gina.moreno@rediffmail.com</t>
  </si>
  <si>
    <t>USS Murray, FPO AP 66559</t>
  </si>
  <si>
    <t>OID6123</t>
  </si>
  <si>
    <t>19:16:28</t>
  </si>
  <si>
    <t>PID024</t>
  </si>
  <si>
    <t>03:46:23</t>
  </si>
  <si>
    <t>CID147</t>
  </si>
  <si>
    <t>Mallory</t>
  </si>
  <si>
    <t>Mitchell</t>
  </si>
  <si>
    <t>mallory.mitchell@yahoo.com</t>
  </si>
  <si>
    <t>710 Anthony Wall Suite 137, East Davidstad, NV 61494</t>
  </si>
  <si>
    <t>OID1699</t>
  </si>
  <si>
    <t>11:48:17</t>
  </si>
  <si>
    <t>10:08:54</t>
  </si>
  <si>
    <t>CID128</t>
  </si>
  <si>
    <t>Traci</t>
  </si>
  <si>
    <t>Jones</t>
  </si>
  <si>
    <t>traci.jones@yahoo.com</t>
  </si>
  <si>
    <t>4016 Ryan Passage, Collinsside, PA 88777</t>
  </si>
  <si>
    <t>OID3792</t>
  </si>
  <si>
    <t>06:34:00</t>
  </si>
  <si>
    <t>PID003</t>
  </si>
  <si>
    <t>14:05:20</t>
  </si>
  <si>
    <t>CID168</t>
  </si>
  <si>
    <t>Deborah</t>
  </si>
  <si>
    <t>Bates</t>
  </si>
  <si>
    <t>deborah.bates@yahoo.com</t>
  </si>
  <si>
    <t>278 Kathy Estate, Saraville, OH 77292</t>
  </si>
  <si>
    <t>OID7663</t>
  </si>
  <si>
    <t>04:06:55</t>
  </si>
  <si>
    <t>13:39:21</t>
  </si>
  <si>
    <t>CID179</t>
  </si>
  <si>
    <t>Christian</t>
  </si>
  <si>
    <t>Clayton</t>
  </si>
  <si>
    <t>christian.clayton@yahoo.com</t>
  </si>
  <si>
    <t>065 Madison Way, Smithstad, CT 68011</t>
  </si>
  <si>
    <t>OID7609</t>
  </si>
  <si>
    <t>10:38:12</t>
  </si>
  <si>
    <t>13:23:35</t>
  </si>
  <si>
    <t>CID163</t>
  </si>
  <si>
    <t>Mark</t>
  </si>
  <si>
    <t>Henderson</t>
  </si>
  <si>
    <t>Dallas</t>
  </si>
  <si>
    <t>mark.henderson@yahoo.com</t>
  </si>
  <si>
    <t>90155 Hines Spring, North Theresafurt, ME 31920</t>
  </si>
  <si>
    <t>OID8875</t>
  </si>
  <si>
    <t>20:47:13</t>
  </si>
  <si>
    <t>PID008</t>
  </si>
  <si>
    <t>16:23:04</t>
  </si>
  <si>
    <t>CID182</t>
  </si>
  <si>
    <t>John</t>
  </si>
  <si>
    <t>Herrera</t>
  </si>
  <si>
    <t>john.herrera@outlook.com</t>
  </si>
  <si>
    <t>61263 Jacob Isle, Amandatown, TN 34321</t>
  </si>
  <si>
    <t>OID4032</t>
  </si>
  <si>
    <t>08:09:52</t>
  </si>
  <si>
    <t>PID012</t>
  </si>
  <si>
    <t>00:57:21</t>
  </si>
  <si>
    <t>CID158</t>
  </si>
  <si>
    <t>Evans</t>
  </si>
  <si>
    <t>angela.evans@outlook.com</t>
  </si>
  <si>
    <t>16031 David Mountain Suite 431, Susanborough, PA 01910</t>
  </si>
  <si>
    <t>OID9964</t>
  </si>
  <si>
    <t>19:13:06</t>
  </si>
  <si>
    <t>PID028</t>
  </si>
  <si>
    <t>04:38:19</t>
  </si>
  <si>
    <t>OID2121</t>
  </si>
  <si>
    <t>06:04:50</t>
  </si>
  <si>
    <t>PID030</t>
  </si>
  <si>
    <t>20:36:00</t>
  </si>
  <si>
    <t>OID4710</t>
  </si>
  <si>
    <t>17:44:17</t>
  </si>
  <si>
    <t>PID026</t>
  </si>
  <si>
    <t>09:53:18</t>
  </si>
  <si>
    <t>OID4295</t>
  </si>
  <si>
    <t>18:58:15</t>
  </si>
  <si>
    <t>02:21:23</t>
  </si>
  <si>
    <t>CID193</t>
  </si>
  <si>
    <t>Ashley</t>
  </si>
  <si>
    <t>Rose</t>
  </si>
  <si>
    <t>ashley.rose@gmail.com</t>
  </si>
  <si>
    <t>424 Nichols Curve Suite 177, Lake Brianview, TX 17289</t>
  </si>
  <si>
    <t>OID2817</t>
  </si>
  <si>
    <t>12:22:52</t>
  </si>
  <si>
    <t>08:01:21</t>
  </si>
  <si>
    <t>CID166</t>
  </si>
  <si>
    <t>Taylor</t>
  </si>
  <si>
    <t>Davis</t>
  </si>
  <si>
    <t>taylor.davis@yahoo.com</t>
  </si>
  <si>
    <t>USCGC Simmons, FPO AA 60167</t>
  </si>
  <si>
    <t>OID4643</t>
  </si>
  <si>
    <t>00:40:20</t>
  </si>
  <si>
    <t>PID018</t>
  </si>
  <si>
    <t>20:26:25</t>
  </si>
  <si>
    <t>CID191</t>
  </si>
  <si>
    <t>Lauren</t>
  </si>
  <si>
    <t>Long</t>
  </si>
  <si>
    <t>lauren.long@gmail.com</t>
  </si>
  <si>
    <t>258 Michael Brooks Suite 363, Arnoldview, PA 49438</t>
  </si>
  <si>
    <t>OID4558</t>
  </si>
  <si>
    <t>21:19:14</t>
  </si>
  <si>
    <t>17:27:57</t>
  </si>
  <si>
    <t>CID108</t>
  </si>
  <si>
    <t>Teresa</t>
  </si>
  <si>
    <t>Harvey</t>
  </si>
  <si>
    <t>teresa.harvey@gmail.com</t>
  </si>
  <si>
    <t>02669 Kirk Squares, Davisville, VA 51272</t>
  </si>
  <si>
    <t>OID9577</t>
  </si>
  <si>
    <t>10:35:41</t>
  </si>
  <si>
    <t>PID036</t>
  </si>
  <si>
    <t>09:28:47</t>
  </si>
  <si>
    <t>OID5502</t>
  </si>
  <si>
    <t>13:50:14</t>
  </si>
  <si>
    <t>PID050</t>
  </si>
  <si>
    <t>08:49:03</t>
  </si>
  <si>
    <t>CID161</t>
  </si>
  <si>
    <t>Heather</t>
  </si>
  <si>
    <t>Schneider</t>
  </si>
  <si>
    <t>heather.schneider@outlook.com</t>
  </si>
  <si>
    <t>57940 Susan Creek Apt. 541, Port Aliciamouth, OR 90221</t>
  </si>
  <si>
    <t>OID6974</t>
  </si>
  <si>
    <t>01:48:02</t>
  </si>
  <si>
    <t>09:55:32</t>
  </si>
  <si>
    <t>CID190</t>
  </si>
  <si>
    <t>Valerie</t>
  </si>
  <si>
    <t>Carr</t>
  </si>
  <si>
    <t>valerie.carr@rediffmail.com</t>
  </si>
  <si>
    <t>981 Emily Stream, South Brianna, CO 98063</t>
  </si>
  <si>
    <t>OID2701</t>
  </si>
  <si>
    <t>14:37:48</t>
  </si>
  <si>
    <t>PID021</t>
  </si>
  <si>
    <t>09:09:46</t>
  </si>
  <si>
    <t>OID4432</t>
  </si>
  <si>
    <t>05:01:37</t>
  </si>
  <si>
    <t>14:14:46</t>
  </si>
  <si>
    <t>OID3502</t>
  </si>
  <si>
    <t>12:35:46</t>
  </si>
  <si>
    <t>00:00:51</t>
  </si>
  <si>
    <t>CID120</t>
  </si>
  <si>
    <t>Jenny</t>
  </si>
  <si>
    <t>Estrada</t>
  </si>
  <si>
    <t>jenny.estrada@yahoo.com</t>
  </si>
  <si>
    <t>792 Carlos Islands, West David, CT 16522</t>
  </si>
  <si>
    <t>OID4411</t>
  </si>
  <si>
    <t>23:34:14</t>
  </si>
  <si>
    <t>PID027</t>
  </si>
  <si>
    <t>16:46:20</t>
  </si>
  <si>
    <t>CID155</t>
  </si>
  <si>
    <t>Courtney</t>
  </si>
  <si>
    <t>Parker</t>
  </si>
  <si>
    <t>courtney.parker@yahoo.com</t>
  </si>
  <si>
    <t>087 Jacqueline Rue Apt. 694, East Tasha, SC 04859</t>
  </si>
  <si>
    <t>OID6304</t>
  </si>
  <si>
    <t>04:09:40</t>
  </si>
  <si>
    <t>01:56:00</t>
  </si>
  <si>
    <t>CID121</t>
  </si>
  <si>
    <t>Julie</t>
  </si>
  <si>
    <t>Meyer</t>
  </si>
  <si>
    <t>julie.meyer@yahoo.com</t>
  </si>
  <si>
    <t>17381 Smith Ramp Suite 398, Courtneyville, AL 17756</t>
  </si>
  <si>
    <t>OID5126</t>
  </si>
  <si>
    <t>04:03:43</t>
  </si>
  <si>
    <t>PID037</t>
  </si>
  <si>
    <t>18:12:43</t>
  </si>
  <si>
    <t>OID8577</t>
  </si>
  <si>
    <t>00:47:19</t>
  </si>
  <si>
    <t>PID041</t>
  </si>
  <si>
    <t>11:25:58</t>
  </si>
  <si>
    <t>OID7688</t>
  </si>
  <si>
    <t>12:37:23</t>
  </si>
  <si>
    <t>09:02:09</t>
  </si>
  <si>
    <t>CID133</t>
  </si>
  <si>
    <t>Donna</t>
  </si>
  <si>
    <t>Oneill</t>
  </si>
  <si>
    <t>donna.oneill@yahoo.com</t>
  </si>
  <si>
    <t>464 Carolyn Crest Suite 738, Lake Isaiah, CA 66153</t>
  </si>
  <si>
    <t>OID4670</t>
  </si>
  <si>
    <t>17:27:33</t>
  </si>
  <si>
    <t>PID004</t>
  </si>
  <si>
    <t>15:28:39</t>
  </si>
  <si>
    <t>CID169</t>
  </si>
  <si>
    <t>Robert</t>
  </si>
  <si>
    <t>Castillo</t>
  </si>
  <si>
    <t>robert.castillo@gmail.com</t>
  </si>
  <si>
    <t>7143 Brandon Skyway Suite 899, Tylerton, IA 21756</t>
  </si>
  <si>
    <t>OID3319</t>
  </si>
  <si>
    <t>01:59:03</t>
  </si>
  <si>
    <t>12:37:05</t>
  </si>
  <si>
    <t>CID132</t>
  </si>
  <si>
    <t>Timothy</t>
  </si>
  <si>
    <t>Hicks</t>
  </si>
  <si>
    <t>timothy.hicks@gmail.com</t>
  </si>
  <si>
    <t>140 Tracy Fields, Lake Cynthiaton, TX 57190</t>
  </si>
  <si>
    <t>OID6911</t>
  </si>
  <si>
    <t>21:46:52</t>
  </si>
  <si>
    <t>16:09:29</t>
  </si>
  <si>
    <t>CID180</t>
  </si>
  <si>
    <t>Andersen</t>
  </si>
  <si>
    <t>thomas.andersen@yahoo.com</t>
  </si>
  <si>
    <t>480 Summers Lock Suite 819, Sarahborough, IA 59863</t>
  </si>
  <si>
    <t>OID8494</t>
  </si>
  <si>
    <t>18:49:59</t>
  </si>
  <si>
    <t>00:31:21</t>
  </si>
  <si>
    <t>OID6898</t>
  </si>
  <si>
    <t>22:08:17</t>
  </si>
  <si>
    <t>PID020</t>
  </si>
  <si>
    <t>06:23:07</t>
  </si>
  <si>
    <t>CID184</t>
  </si>
  <si>
    <t>Aaron</t>
  </si>
  <si>
    <t>Thompson</t>
  </si>
  <si>
    <t>aaron.thompson@gmail.com</t>
  </si>
  <si>
    <t>PSC 0550, Box 2737, APO AE 75772</t>
  </si>
  <si>
    <t>OID7606</t>
  </si>
  <si>
    <t>19:20:51</t>
  </si>
  <si>
    <t>07:23:46</t>
  </si>
  <si>
    <t>CID187</t>
  </si>
  <si>
    <t>Jason</t>
  </si>
  <si>
    <t>Lopez</t>
  </si>
  <si>
    <t>jason.lopez@outlook.com</t>
  </si>
  <si>
    <t>934 Levine View, Brentport, NE 38210</t>
  </si>
  <si>
    <t>OID6503</t>
  </si>
  <si>
    <t>00:57:17</t>
  </si>
  <si>
    <t>09:51:58</t>
  </si>
  <si>
    <t>CID181</t>
  </si>
  <si>
    <t>Alexandra</t>
  </si>
  <si>
    <t>Smith</t>
  </si>
  <si>
    <t>alexandra.smith@rediffmail.com</t>
  </si>
  <si>
    <t>48611 Clark Village, West Anne, GA 92865</t>
  </si>
  <si>
    <t>OID3616</t>
  </si>
  <si>
    <t>04:25:34</t>
  </si>
  <si>
    <t>00:47:31</t>
  </si>
  <si>
    <t>OID2170</t>
  </si>
  <si>
    <t>07:52:23</t>
  </si>
  <si>
    <t>17:14:10</t>
  </si>
  <si>
    <t>CID116</t>
  </si>
  <si>
    <t>Ramirez</t>
  </si>
  <si>
    <t>john.ramirez@outlook.com</t>
  </si>
  <si>
    <t>02797 Martin Landing, South Michelle, VT 98781</t>
  </si>
  <si>
    <t>OID1956</t>
  </si>
  <si>
    <t>15:34:34</t>
  </si>
  <si>
    <t>PID010</t>
  </si>
  <si>
    <t>01:12:58</t>
  </si>
  <si>
    <t>CID135</t>
  </si>
  <si>
    <t>Amanda</t>
  </si>
  <si>
    <t>Howard</t>
  </si>
  <si>
    <t>amanda.howard@outlook.com</t>
  </si>
  <si>
    <t>56908 Sydney Park Suite 632, West Anthonyport, NC 15954</t>
  </si>
  <si>
    <t>OID8620</t>
  </si>
  <si>
    <t>01:45:28</t>
  </si>
  <si>
    <t>07:09:53</t>
  </si>
  <si>
    <t>OID4770</t>
  </si>
  <si>
    <t>12:30:02</t>
  </si>
  <si>
    <t>PID001</t>
  </si>
  <si>
    <t>07:53:31</t>
  </si>
  <si>
    <t>OID9880</t>
  </si>
  <si>
    <t>04:32:42</t>
  </si>
  <si>
    <t>08:48:02</t>
  </si>
  <si>
    <t>CID165</t>
  </si>
  <si>
    <t>Mary</t>
  </si>
  <si>
    <t>Knight</t>
  </si>
  <si>
    <t>mary.knight@yahoo.com</t>
  </si>
  <si>
    <t>907 Kimberly Hill, Murrayfort, NH 88384</t>
  </si>
  <si>
    <t>OID2152</t>
  </si>
  <si>
    <t>14:13:38</t>
  </si>
  <si>
    <t>16:08:19</t>
  </si>
  <si>
    <t>CID126</t>
  </si>
  <si>
    <t>Rogers</t>
  </si>
  <si>
    <t>marcus.rogers@outlook.com</t>
  </si>
  <si>
    <t>06912 Brown Pine Apt. 763, Teresamouth, HI 24377</t>
  </si>
  <si>
    <t>OID2991</t>
  </si>
  <si>
    <t>02:09:48</t>
  </si>
  <si>
    <t>03:08:52</t>
  </si>
  <si>
    <t>CID111</t>
  </si>
  <si>
    <t>Brian</t>
  </si>
  <si>
    <t>Kennedy</t>
  </si>
  <si>
    <t>brian.kennedy@outlook.com</t>
  </si>
  <si>
    <t>25126 Nancy Fort Suite 568, Alexandrachester, AZ 44823</t>
  </si>
  <si>
    <t>OID5607</t>
  </si>
  <si>
    <t>16:10:50</t>
  </si>
  <si>
    <t>15:21:29</t>
  </si>
  <si>
    <t>CID129</t>
  </si>
  <si>
    <t>Rebecca</t>
  </si>
  <si>
    <t>Figueroa</t>
  </si>
  <si>
    <t>rebecca.figueroa@outlook.com</t>
  </si>
  <si>
    <t>3959 Bell Dale, North Jacob, LA 07934</t>
  </si>
  <si>
    <t>OID8169</t>
  </si>
  <si>
    <t>09:43:27</t>
  </si>
  <si>
    <t>00:00:42</t>
  </si>
  <si>
    <t>CID199</t>
  </si>
  <si>
    <t>Lori</t>
  </si>
  <si>
    <t>Cook</t>
  </si>
  <si>
    <t>lori.cook@rediffmail.com</t>
  </si>
  <si>
    <t>86837 Bell Meadows, North Jasonshire, UT 51354</t>
  </si>
  <si>
    <t>OID5832</t>
  </si>
  <si>
    <t>02:34:25</t>
  </si>
  <si>
    <t>PID019</t>
  </si>
  <si>
    <t>13:09:47</t>
  </si>
  <si>
    <t>CID134</t>
  </si>
  <si>
    <t>Hayes</t>
  </si>
  <si>
    <t>debra.hayes@yahoo.com</t>
  </si>
  <si>
    <t>4601 Miller Lock, Williamsbury, IA 10943</t>
  </si>
  <si>
    <t>OID7806</t>
  </si>
  <si>
    <t>02:46:19</t>
  </si>
  <si>
    <t>PID009</t>
  </si>
  <si>
    <t>20:00:32</t>
  </si>
  <si>
    <t>CID136</t>
  </si>
  <si>
    <t>Brittany</t>
  </si>
  <si>
    <t>brittany.stewart@gmail.com</t>
  </si>
  <si>
    <t>6250 David Loaf Suite 561, North Pamelaberg, WV 63652</t>
  </si>
  <si>
    <t>OID4875</t>
  </si>
  <si>
    <t>18:25:37</t>
  </si>
  <si>
    <t>15:52:25</t>
  </si>
  <si>
    <t>CID153</t>
  </si>
  <si>
    <t>mitchell.parker@yahoo.com</t>
  </si>
  <si>
    <t>PSC 3316, Box 9303, APO AE 29513</t>
  </si>
  <si>
    <t>OID4070</t>
  </si>
  <si>
    <t>19:18:19</t>
  </si>
  <si>
    <t>PID038</t>
  </si>
  <si>
    <t>02:44:55</t>
  </si>
  <si>
    <t>OID7679</t>
  </si>
  <si>
    <t>09:15:50</t>
  </si>
  <si>
    <t>09:05:06</t>
  </si>
  <si>
    <t>CID100</t>
  </si>
  <si>
    <t>Sharon</t>
  </si>
  <si>
    <t>sharon.thompson@yahoo.com</t>
  </si>
  <si>
    <t>598 Jasmine Harbor, Turnerberg, SD 02371</t>
  </si>
  <si>
    <t>OID3097</t>
  </si>
  <si>
    <t>02:51:35</t>
  </si>
  <si>
    <t>05:56:26</t>
  </si>
  <si>
    <t>CID195</t>
  </si>
  <si>
    <t>Sarah</t>
  </si>
  <si>
    <t>Butler</t>
  </si>
  <si>
    <t>sarah.butler@rediffmail.com</t>
  </si>
  <si>
    <t>14131 Edwin Shore Apt. 190, Deniseberg, MD 90905</t>
  </si>
  <si>
    <t>OID8869</t>
  </si>
  <si>
    <t>20:59:40</t>
  </si>
  <si>
    <t>PID048</t>
  </si>
  <si>
    <t>23:33:51</t>
  </si>
  <si>
    <t>OID2686</t>
  </si>
  <si>
    <t>17:00:22</t>
  </si>
  <si>
    <t>PID049</t>
  </si>
  <si>
    <t>12:18:47</t>
  </si>
  <si>
    <t>CID175</t>
  </si>
  <si>
    <t>Katherine</t>
  </si>
  <si>
    <t>Weber</t>
  </si>
  <si>
    <t>katherine.weber@outlook.com</t>
  </si>
  <si>
    <t>04887 Kimberly Union Apt. 645, Port Laura, IL 97219</t>
  </si>
  <si>
    <t>OID1046</t>
  </si>
  <si>
    <t>22:51:56</t>
  </si>
  <si>
    <t>07:24:20</t>
  </si>
  <si>
    <t>CID103</t>
  </si>
  <si>
    <t>Nguyen</t>
  </si>
  <si>
    <t>jason.nguyen@yahoo.com</t>
  </si>
  <si>
    <t>7112 Travis Glens Suite 790, Crystalland, WV 38373</t>
  </si>
  <si>
    <t>OID8953</t>
  </si>
  <si>
    <t>12:19:34</t>
  </si>
  <si>
    <t>10:04:54</t>
  </si>
  <si>
    <t>CID192</t>
  </si>
  <si>
    <t>Brandon</t>
  </si>
  <si>
    <t>Cruz</t>
  </si>
  <si>
    <t>brandon.cruz@gmail.com</t>
  </si>
  <si>
    <t>9296 Villanueva Branch, East Kevin, CO 93912</t>
  </si>
  <si>
    <t>OID1157</t>
  </si>
  <si>
    <t>15:26:04</t>
  </si>
  <si>
    <t>08:17:58</t>
  </si>
  <si>
    <t>OID7358</t>
  </si>
  <si>
    <t>19:49:32</t>
  </si>
  <si>
    <t>22:41:33</t>
  </si>
  <si>
    <t>CID174</t>
  </si>
  <si>
    <t>Jodi</t>
  </si>
  <si>
    <t>Whitney</t>
  </si>
  <si>
    <t>jodi.whitney@yahoo.com</t>
  </si>
  <si>
    <t>72876 Lara Key Suite 383, Gutierrezton, OR 71683</t>
  </si>
  <si>
    <t>OID7453</t>
  </si>
  <si>
    <t>21:08:59</t>
  </si>
  <si>
    <t>PID017</t>
  </si>
  <si>
    <t>10:39:08</t>
  </si>
  <si>
    <t>OID1573</t>
  </si>
  <si>
    <t>05:40:38</t>
  </si>
  <si>
    <t>05:38:59</t>
  </si>
  <si>
    <t>OID5696</t>
  </si>
  <si>
    <t>17:56:01</t>
  </si>
  <si>
    <t>15:52:42</t>
  </si>
  <si>
    <t>OID3467</t>
  </si>
  <si>
    <t>23:34:28</t>
  </si>
  <si>
    <t>PID016</t>
  </si>
  <si>
    <t>02:05:20</t>
  </si>
  <si>
    <t>OID8542</t>
  </si>
  <si>
    <t>03:04:26</t>
  </si>
  <si>
    <t>16:05:07</t>
  </si>
  <si>
    <t>OID1520</t>
  </si>
  <si>
    <t>04:27:04</t>
  </si>
  <si>
    <t>07:38:34</t>
  </si>
  <si>
    <t>OID2157</t>
  </si>
  <si>
    <t>23:24:39</t>
  </si>
  <si>
    <t>PID006</t>
  </si>
  <si>
    <t>01:07:36</t>
  </si>
  <si>
    <t>CID145</t>
  </si>
  <si>
    <t>Romero</t>
  </si>
  <si>
    <t>ashley.romero@yahoo.com</t>
  </si>
  <si>
    <t>547 Kerry Expressway, Lake Amanda, AR 20321</t>
  </si>
  <si>
    <t>OID6374</t>
  </si>
  <si>
    <t>18:54:33</t>
  </si>
  <si>
    <t>16:14:09</t>
  </si>
  <si>
    <t>OID6555</t>
  </si>
  <si>
    <t>10:55:08</t>
  </si>
  <si>
    <t>10:56:05</t>
  </si>
  <si>
    <t>OID5850</t>
  </si>
  <si>
    <t>19:40:45</t>
  </si>
  <si>
    <t>20:24:13</t>
  </si>
  <si>
    <t>OID8041</t>
  </si>
  <si>
    <t>02:08:49</t>
  </si>
  <si>
    <t>PID025</t>
  </si>
  <si>
    <t>15:38:07</t>
  </si>
  <si>
    <t>CID144</t>
  </si>
  <si>
    <t>William</t>
  </si>
  <si>
    <t>Mann</t>
  </si>
  <si>
    <t>william.mann@yahoo.com</t>
  </si>
  <si>
    <t>849 Tran Wells, New Lindsayville, WI 22669</t>
  </si>
  <si>
    <t>OID5605</t>
  </si>
  <si>
    <t>01:05:15</t>
  </si>
  <si>
    <t>13:48:26</t>
  </si>
  <si>
    <t>OID8388</t>
  </si>
  <si>
    <t>04:27:02</t>
  </si>
  <si>
    <t>09:07:52</t>
  </si>
  <si>
    <t>CID125</t>
  </si>
  <si>
    <t>Kelli</t>
  </si>
  <si>
    <t>kelli.smith@rediffmail.com</t>
  </si>
  <si>
    <t>788 Kristina Lane, Montoyaside, VA 90756</t>
  </si>
  <si>
    <t>OID5787</t>
  </si>
  <si>
    <t>15:22:10</t>
  </si>
  <si>
    <t>13:15:51</t>
  </si>
  <si>
    <t>OID3140</t>
  </si>
  <si>
    <t>19:45:13</t>
  </si>
  <si>
    <t>13:53:47</t>
  </si>
  <si>
    <t>OID6771</t>
  </si>
  <si>
    <t>01:09:33</t>
  </si>
  <si>
    <t>21:18:20</t>
  </si>
  <si>
    <t>OID8988</t>
  </si>
  <si>
    <t>07:05:58</t>
  </si>
  <si>
    <t>17:13:41</t>
  </si>
  <si>
    <t>OID9398</t>
  </si>
  <si>
    <t>07:48:29</t>
  </si>
  <si>
    <t>23:09:43</t>
  </si>
  <si>
    <t>CID139</t>
  </si>
  <si>
    <t>Gaines</t>
  </si>
  <si>
    <t>joseph.gaines@outlook.com</t>
  </si>
  <si>
    <t>37549 Pope Isle Apt. 202, Tylerborough, MO 60042</t>
  </si>
  <si>
    <t>OID9822</t>
  </si>
  <si>
    <t>12:17:34</t>
  </si>
  <si>
    <t>11:02:15</t>
  </si>
  <si>
    <t>OID1269</t>
  </si>
  <si>
    <t>19:02:37</t>
  </si>
  <si>
    <t>00:56:16</t>
  </si>
  <si>
    <t>OID9915</t>
  </si>
  <si>
    <t>03:34:35</t>
  </si>
  <si>
    <t>00:26:45</t>
  </si>
  <si>
    <t>OID3348</t>
  </si>
  <si>
    <t>17:05:21</t>
  </si>
  <si>
    <t>PID005</t>
  </si>
  <si>
    <t>06:56:06</t>
  </si>
  <si>
    <t>CID118</t>
  </si>
  <si>
    <t>Ellis</t>
  </si>
  <si>
    <t>amy.ellis@gmail.com</t>
  </si>
  <si>
    <t>217 Scott Ville, Christophermouth, NH 83776</t>
  </si>
  <si>
    <t>OID8431</t>
  </si>
  <si>
    <t>23:41:08</t>
  </si>
  <si>
    <t>01:56:42</t>
  </si>
  <si>
    <t>CID140</t>
  </si>
  <si>
    <t>Beth</t>
  </si>
  <si>
    <t>Mason</t>
  </si>
  <si>
    <t>beth.mason@outlook.com</t>
  </si>
  <si>
    <t>58998 Sherry Haven, East Richard, FL 90775</t>
  </si>
  <si>
    <t>OID6943</t>
  </si>
  <si>
    <t>04:48:30</t>
  </si>
  <si>
    <t>PID035</t>
  </si>
  <si>
    <t>10:01:40</t>
  </si>
  <si>
    <t>OID6229</t>
  </si>
  <si>
    <t>17:09:49</t>
  </si>
  <si>
    <t>PID013</t>
  </si>
  <si>
    <t>22:15:50</t>
  </si>
  <si>
    <t>OID6912</t>
  </si>
  <si>
    <t>07:51:16</t>
  </si>
  <si>
    <t>06:23:31</t>
  </si>
  <si>
    <t>OID5081</t>
  </si>
  <si>
    <t>21:43:03</t>
  </si>
  <si>
    <t>01:29:42</t>
  </si>
  <si>
    <t>OID5610</t>
  </si>
  <si>
    <t>07:53:58</t>
  </si>
  <si>
    <t>10:10:26</t>
  </si>
  <si>
    <t>OID7759</t>
  </si>
  <si>
    <t>01:16:21</t>
  </si>
  <si>
    <t>17:07:06</t>
  </si>
  <si>
    <t>CID123</t>
  </si>
  <si>
    <t>Christy</t>
  </si>
  <si>
    <t>Chang</t>
  </si>
  <si>
    <t>christy.chang@outlook.com</t>
  </si>
  <si>
    <t>4647 Hannah Centers, Rhodesburgh, NH 89363</t>
  </si>
  <si>
    <t>OID4481</t>
  </si>
  <si>
    <t>02:43:38</t>
  </si>
  <si>
    <t>02:45:47</t>
  </si>
  <si>
    <t>CID183</t>
  </si>
  <si>
    <t>Troy</t>
  </si>
  <si>
    <t>Gomez</t>
  </si>
  <si>
    <t>troy.gomez@outlook.com</t>
  </si>
  <si>
    <t>7510 Jose Knolls, Candicechester, LA 62815</t>
  </si>
  <si>
    <t>OID6749</t>
  </si>
  <si>
    <t>13:25:18</t>
  </si>
  <si>
    <t>PID032</t>
  </si>
  <si>
    <t>14:51:25</t>
  </si>
  <si>
    <t>CID143</t>
  </si>
  <si>
    <t>Kim</t>
  </si>
  <si>
    <t>Blevins</t>
  </si>
  <si>
    <t>kim.blevins@outlook.com</t>
  </si>
  <si>
    <t>089 Rice Shoal Suite 491, Juarezmouth, MI 88715</t>
  </si>
  <si>
    <t>OID8681</t>
  </si>
  <si>
    <t>18:32:14</t>
  </si>
  <si>
    <t>06:09:27</t>
  </si>
  <si>
    <t>OID9693</t>
  </si>
  <si>
    <t>21:12:50</t>
  </si>
  <si>
    <t>09:07:45</t>
  </si>
  <si>
    <t>OID3607</t>
  </si>
  <si>
    <t>17:19:09</t>
  </si>
  <si>
    <t>09:03:23</t>
  </si>
  <si>
    <t>OID9743</t>
  </si>
  <si>
    <t>15:04:45</t>
  </si>
  <si>
    <t>19:43:27</t>
  </si>
  <si>
    <t>CID156</t>
  </si>
  <si>
    <t>Gregory</t>
  </si>
  <si>
    <t>Lee</t>
  </si>
  <si>
    <t>gregory.lee@rediffmail.com</t>
  </si>
  <si>
    <t>619 Parker Turnpike Apt. 025, West Brucehaven, ID 48437</t>
  </si>
  <si>
    <t>OID7866</t>
  </si>
  <si>
    <t>18:15:56</t>
  </si>
  <si>
    <t>04:57:03</t>
  </si>
  <si>
    <t>OID1137</t>
  </si>
  <si>
    <t>00:17:47</t>
  </si>
  <si>
    <t>21:42:51</t>
  </si>
  <si>
    <t>CID170</t>
  </si>
  <si>
    <t>Bruce</t>
  </si>
  <si>
    <t>Allen</t>
  </si>
  <si>
    <t>bruce.allen@rediffmail.com</t>
  </si>
  <si>
    <t>2417 Brown Ford, West Timothyside, RI 45629</t>
  </si>
  <si>
    <t>OID4685</t>
  </si>
  <si>
    <t>01:46:15</t>
  </si>
  <si>
    <t>22:28:20</t>
  </si>
  <si>
    <t>CID107</t>
  </si>
  <si>
    <t>Lisa</t>
  </si>
  <si>
    <t>lisa.miller@gmail.com</t>
  </si>
  <si>
    <t>89748 Campbell Drive, South Tannerland, WI 13143</t>
  </si>
  <si>
    <t>OID9584</t>
  </si>
  <si>
    <t>09:44:25</t>
  </si>
  <si>
    <t>09:50:58</t>
  </si>
  <si>
    <t>CID185</t>
  </si>
  <si>
    <t>Melissa</t>
  </si>
  <si>
    <t>Levy</t>
  </si>
  <si>
    <t>melissa.levy@rediffmail.com</t>
  </si>
  <si>
    <t>3303 Kennedy Springs Suite 830, East Amybury, MI 95595</t>
  </si>
  <si>
    <t>OID1686</t>
  </si>
  <si>
    <t>20:32:03</t>
  </si>
  <si>
    <t>PID040</t>
  </si>
  <si>
    <t>16:26:05</t>
  </si>
  <si>
    <t>OID5272</t>
  </si>
  <si>
    <t>12:57:10</t>
  </si>
  <si>
    <t>19:04:22</t>
  </si>
  <si>
    <t>OID7359</t>
  </si>
  <si>
    <t>14:16:13</t>
  </si>
  <si>
    <t>11:54:49</t>
  </si>
  <si>
    <t>OID3570</t>
  </si>
  <si>
    <t>05:44:11</t>
  </si>
  <si>
    <t>PID029</t>
  </si>
  <si>
    <t>18:54:47</t>
  </si>
  <si>
    <t>CID194</t>
  </si>
  <si>
    <t>Barbara</t>
  </si>
  <si>
    <t>Fuller</t>
  </si>
  <si>
    <t>barbara.fuller@rediffmail.com</t>
  </si>
  <si>
    <t>134 Mcintosh Unions Suite 574, Lake Laura, DE 96577</t>
  </si>
  <si>
    <t>OID2519</t>
  </si>
  <si>
    <t>19:28:31</t>
  </si>
  <si>
    <t>16:45:09</t>
  </si>
  <si>
    <t>OID1134</t>
  </si>
  <si>
    <t>06:22:42</t>
  </si>
  <si>
    <t>11:58:32</t>
  </si>
  <si>
    <t>OID8270</t>
  </si>
  <si>
    <t>03:53:04</t>
  </si>
  <si>
    <t>15:27:26</t>
  </si>
  <si>
    <t>OID9515</t>
  </si>
  <si>
    <t>13:06:48</t>
  </si>
  <si>
    <t>01:22:23</t>
  </si>
  <si>
    <t>CID188</t>
  </si>
  <si>
    <t>Kristina</t>
  </si>
  <si>
    <t>Haynes</t>
  </si>
  <si>
    <t>kristina.haynes@yahoo.com</t>
  </si>
  <si>
    <t>18295 Thomas River, Kochville, NH 80868</t>
  </si>
  <si>
    <t>OID6608</t>
  </si>
  <si>
    <t>10:28:03</t>
  </si>
  <si>
    <t>PID044</t>
  </si>
  <si>
    <t>23:08:52</t>
  </si>
  <si>
    <t>CID112</t>
  </si>
  <si>
    <t>Lindsey</t>
  </si>
  <si>
    <t>Byrd</t>
  </si>
  <si>
    <t>lindsey.byrd@rediffmail.com</t>
  </si>
  <si>
    <t>USCGC Harper, FPO AA 38349</t>
  </si>
  <si>
    <t>OID3035</t>
  </si>
  <si>
    <t>22:11:06</t>
  </si>
  <si>
    <t>11:35:56</t>
  </si>
  <si>
    <t>OID4548</t>
  </si>
  <si>
    <t>14:00:52</t>
  </si>
  <si>
    <t>04:39:06</t>
  </si>
  <si>
    <t>OID5978</t>
  </si>
  <si>
    <t>07:11:09</t>
  </si>
  <si>
    <t>14:05:53</t>
  </si>
  <si>
    <t>OID6297</t>
  </si>
  <si>
    <t>12:09:51</t>
  </si>
  <si>
    <t>05:11:05</t>
  </si>
  <si>
    <t>OID5108</t>
  </si>
  <si>
    <t>10:51:20</t>
  </si>
  <si>
    <t>23:53:27</t>
  </si>
  <si>
    <t>OID4599</t>
  </si>
  <si>
    <t>23:40:15</t>
  </si>
  <si>
    <t>20:14:00</t>
  </si>
  <si>
    <t>OID1418</t>
  </si>
  <si>
    <t>01:24:01</t>
  </si>
  <si>
    <t>16:29:02</t>
  </si>
  <si>
    <t>OID1411</t>
  </si>
  <si>
    <t>11:34:01</t>
  </si>
  <si>
    <t>11:25:35</t>
  </si>
  <si>
    <t>OID8692</t>
  </si>
  <si>
    <t>02:04:13</t>
  </si>
  <si>
    <t>19:20:55</t>
  </si>
  <si>
    <t>OID4402</t>
  </si>
  <si>
    <t>22:18:21</t>
  </si>
  <si>
    <t>12:35:14</t>
  </si>
  <si>
    <t>OID1309</t>
  </si>
  <si>
    <t>08:18:11</t>
  </si>
  <si>
    <t>13:38:46</t>
  </si>
  <si>
    <t>OID2746</t>
  </si>
  <si>
    <t>10:44:36</t>
  </si>
  <si>
    <t>23:51:56</t>
  </si>
  <si>
    <t>OID9360</t>
  </si>
  <si>
    <t>17:09:22</t>
  </si>
  <si>
    <t>16:24:38</t>
  </si>
  <si>
    <t>OID6453</t>
  </si>
  <si>
    <t>07:07:24</t>
  </si>
  <si>
    <t>01:21:39</t>
  </si>
  <si>
    <t>CID124</t>
  </si>
  <si>
    <t>Edward</t>
  </si>
  <si>
    <t>Black</t>
  </si>
  <si>
    <t>edward.black@gmail.com</t>
  </si>
  <si>
    <t>5879 Susan Via Apt. 886, Sandovalbury, WV 61449</t>
  </si>
  <si>
    <t>OID9745</t>
  </si>
  <si>
    <t>07:27:27</t>
  </si>
  <si>
    <t>14:08:36</t>
  </si>
  <si>
    <t>CID160</t>
  </si>
  <si>
    <t>James</t>
  </si>
  <si>
    <t>Brown</t>
  </si>
  <si>
    <t>james.brown@yahoo.com</t>
  </si>
  <si>
    <t>221 Frey Crossing Suite 192, South Taylorland, HI 72875</t>
  </si>
  <si>
    <t>OID4081</t>
  </si>
  <si>
    <t>00:30:57</t>
  </si>
  <si>
    <t>15:41:07</t>
  </si>
  <si>
    <t>CID171</t>
  </si>
  <si>
    <t>Leslie</t>
  </si>
  <si>
    <t>Montgomery</t>
  </si>
  <si>
    <t>leslie.montgomery@gmail.com</t>
  </si>
  <si>
    <t>135 Teresa Oval Apt. 825, East Katherineport, WY 13714</t>
  </si>
  <si>
    <t>OID3967</t>
  </si>
  <si>
    <t>20:10:38</t>
  </si>
  <si>
    <t>03:43:44</t>
  </si>
  <si>
    <t>CID173</t>
  </si>
  <si>
    <t>Susan</t>
  </si>
  <si>
    <t>susan.thompson@outlook.com</t>
  </si>
  <si>
    <t>47821 William Station, East Ashleymouth, FL 20562</t>
  </si>
  <si>
    <t>OID9112</t>
  </si>
  <si>
    <t>14:57:06</t>
  </si>
  <si>
    <t>21:20:28</t>
  </si>
  <si>
    <t>OID8628</t>
  </si>
  <si>
    <t>10:20:44</t>
  </si>
  <si>
    <t>23:29:03</t>
  </si>
  <si>
    <t>OID5996</t>
  </si>
  <si>
    <t>14:09:23</t>
  </si>
  <si>
    <t>10:17:52</t>
  </si>
  <si>
    <t>OID5210</t>
  </si>
  <si>
    <t>10:48:56</t>
  </si>
  <si>
    <t>05:48:39</t>
  </si>
  <si>
    <t>OID4415</t>
  </si>
  <si>
    <t>10:33:35</t>
  </si>
  <si>
    <t>05:24:44</t>
  </si>
  <si>
    <t>OID6716</t>
  </si>
  <si>
    <t>22:34:39</t>
  </si>
  <si>
    <t>02:59:45</t>
  </si>
  <si>
    <t>OID9804</t>
  </si>
  <si>
    <t>19:56:54</t>
  </si>
  <si>
    <t>PID011</t>
  </si>
  <si>
    <t>02:22:56</t>
  </si>
  <si>
    <t>OID9798</t>
  </si>
  <si>
    <t>19:28:23</t>
  </si>
  <si>
    <t>11:32:19</t>
  </si>
  <si>
    <t>OID4965</t>
  </si>
  <si>
    <t>09:43:17</t>
  </si>
  <si>
    <t>16:27:25</t>
  </si>
  <si>
    <t>OID3209</t>
  </si>
  <si>
    <t>06:49:56</t>
  </si>
  <si>
    <t>22:10:44</t>
  </si>
  <si>
    <t>OID6103</t>
  </si>
  <si>
    <t>00:43:57</t>
  </si>
  <si>
    <t>04:56:51</t>
  </si>
  <si>
    <t>OID4368</t>
  </si>
  <si>
    <t>15:45:08</t>
  </si>
  <si>
    <t>19:53:01</t>
  </si>
  <si>
    <t>OID1692</t>
  </si>
  <si>
    <t>03:06:30</t>
  </si>
  <si>
    <t>06:57:51</t>
  </si>
  <si>
    <t>OID9808</t>
  </si>
  <si>
    <t>13:02:42</t>
  </si>
  <si>
    <t>06:40:28</t>
  </si>
  <si>
    <t>CID119</t>
  </si>
  <si>
    <t>Griffin</t>
  </si>
  <si>
    <t>amy.griffin@rediffmail.com</t>
  </si>
  <si>
    <t>07350 Aaron Meadow Suite 138, Kiaraberg, AL 79545</t>
  </si>
  <si>
    <t>OID3568</t>
  </si>
  <si>
    <t>10:25:49</t>
  </si>
  <si>
    <t>08:21:37</t>
  </si>
  <si>
    <t>OID3469</t>
  </si>
  <si>
    <t>04:33:43</t>
  </si>
  <si>
    <t>01:47:49</t>
  </si>
  <si>
    <t>OID6217</t>
  </si>
  <si>
    <t>15:45:02</t>
  </si>
  <si>
    <t>19:16:06</t>
  </si>
  <si>
    <t>OID9257</t>
  </si>
  <si>
    <t>18:37:45</t>
  </si>
  <si>
    <t>02:32:24</t>
  </si>
  <si>
    <t>OID7258</t>
  </si>
  <si>
    <t>20:25:23</t>
  </si>
  <si>
    <t>11:54:10</t>
  </si>
  <si>
    <t>OID8380</t>
  </si>
  <si>
    <t>10:35:10</t>
  </si>
  <si>
    <t>00:12:03</t>
  </si>
  <si>
    <t>OID9224</t>
  </si>
  <si>
    <t>21:35:45</t>
  </si>
  <si>
    <t>09:34:31</t>
  </si>
  <si>
    <t>OID4506</t>
  </si>
  <si>
    <t>16:54:11</t>
  </si>
  <si>
    <t>18:09:14</t>
  </si>
  <si>
    <t>OID7689</t>
  </si>
  <si>
    <t>10:04:46</t>
  </si>
  <si>
    <t>22:23:04</t>
  </si>
  <si>
    <t>CID109</t>
  </si>
  <si>
    <t>Rachael</t>
  </si>
  <si>
    <t>Robinson</t>
  </si>
  <si>
    <t>rachael.robinson@rediffmail.com</t>
  </si>
  <si>
    <t>0889 Brady Points, Port Meganhaven, NM 26553</t>
  </si>
  <si>
    <t>OID8699</t>
  </si>
  <si>
    <t>02:22:40</t>
  </si>
  <si>
    <t>00:47:16</t>
  </si>
  <si>
    <t>OID1317</t>
  </si>
  <si>
    <t>21:52:14</t>
  </si>
  <si>
    <t>10:43:13</t>
  </si>
  <si>
    <t>OID2429</t>
  </si>
  <si>
    <t>08:31:11</t>
  </si>
  <si>
    <t>09:56:25</t>
  </si>
  <si>
    <t>OID4514</t>
  </si>
  <si>
    <t>20:48:48</t>
  </si>
  <si>
    <t>PID002</t>
  </si>
  <si>
    <t>15:06:55</t>
  </si>
  <si>
    <t>OID6237</t>
  </si>
  <si>
    <t>18:41:53</t>
  </si>
  <si>
    <t>19:58:13</t>
  </si>
  <si>
    <t>OID6752</t>
  </si>
  <si>
    <t>05:35:11</t>
  </si>
  <si>
    <t>04:56:02</t>
  </si>
  <si>
    <t>OID7059</t>
  </si>
  <si>
    <t>11:01:20</t>
  </si>
  <si>
    <t>12:21:09</t>
  </si>
  <si>
    <t>OID6264</t>
  </si>
  <si>
    <t>08:29:32</t>
  </si>
  <si>
    <t>12:32:31</t>
  </si>
  <si>
    <t>OID5366</t>
  </si>
  <si>
    <t>02:56:50</t>
  </si>
  <si>
    <t>05:26:37</t>
  </si>
  <si>
    <t>OID1663</t>
  </si>
  <si>
    <t>11:18:01</t>
  </si>
  <si>
    <t>06:56:11</t>
  </si>
  <si>
    <t>OID7664</t>
  </si>
  <si>
    <t>03:11:30</t>
  </si>
  <si>
    <t>18:17:55</t>
  </si>
  <si>
    <t>OID4364</t>
  </si>
  <si>
    <t>04:35:15</t>
  </si>
  <si>
    <t>15:55:56</t>
  </si>
  <si>
    <t>OID1153</t>
  </si>
  <si>
    <t>08:45:48</t>
  </si>
  <si>
    <t>10:48:42</t>
  </si>
  <si>
    <t>OID5700</t>
  </si>
  <si>
    <t>09:39:48</t>
  </si>
  <si>
    <t>06:37:23</t>
  </si>
  <si>
    <t>OID1706</t>
  </si>
  <si>
    <t>19:48:44</t>
  </si>
  <si>
    <t>16:27:41</t>
  </si>
  <si>
    <t>OID6420</t>
  </si>
  <si>
    <t>18:18:32</t>
  </si>
  <si>
    <t>10:39:26</t>
  </si>
  <si>
    <t>OID2659</t>
  </si>
  <si>
    <t>16:59:55</t>
  </si>
  <si>
    <t>01:05:29</t>
  </si>
  <si>
    <t>OID5326</t>
  </si>
  <si>
    <t>13:40:51</t>
  </si>
  <si>
    <t>PID045</t>
  </si>
  <si>
    <t>00:35:18</t>
  </si>
  <si>
    <t>CID127</t>
  </si>
  <si>
    <t>Natasha</t>
  </si>
  <si>
    <t>Michael</t>
  </si>
  <si>
    <t>natasha.michael@gmail.com</t>
  </si>
  <si>
    <t>78992 Justin Estates Suite 226, Floresberg, NM 40797</t>
  </si>
  <si>
    <t>OID4465</t>
  </si>
  <si>
    <t>08:11:19</t>
  </si>
  <si>
    <t>18:28:53</t>
  </si>
  <si>
    <t>OID9324</t>
  </si>
  <si>
    <t>02:27:18</t>
  </si>
  <si>
    <t>04:48:38</t>
  </si>
  <si>
    <t>OID9267</t>
  </si>
  <si>
    <t>05:33:41</t>
  </si>
  <si>
    <t>13:20:58</t>
  </si>
  <si>
    <t>OID5402</t>
  </si>
  <si>
    <t>18:14:45</t>
  </si>
  <si>
    <t>13:20:38</t>
  </si>
  <si>
    <t>OID8716</t>
  </si>
  <si>
    <t>03:08:05</t>
  </si>
  <si>
    <t>04:04:13</t>
  </si>
  <si>
    <t>OID4014</t>
  </si>
  <si>
    <t>21:06:59</t>
  </si>
  <si>
    <t>00:33:10</t>
  </si>
  <si>
    <t>OID8569</t>
  </si>
  <si>
    <t>14:49:31</t>
  </si>
  <si>
    <t>04:10:37</t>
  </si>
  <si>
    <t>OID6330</t>
  </si>
  <si>
    <t>19:40:44</t>
  </si>
  <si>
    <t>16:30:13</t>
  </si>
  <si>
    <t>OID6607</t>
  </si>
  <si>
    <t>16:25:28</t>
  </si>
  <si>
    <t>13:33:22</t>
  </si>
  <si>
    <t>OID4892</t>
  </si>
  <si>
    <t>05:57:45</t>
  </si>
  <si>
    <t>08:04:55</t>
  </si>
  <si>
    <t>OID9692</t>
  </si>
  <si>
    <t>13:16:36</t>
  </si>
  <si>
    <t>23:44:01</t>
  </si>
  <si>
    <t>OID4746</t>
  </si>
  <si>
    <t>07:44:52</t>
  </si>
  <si>
    <t>00:28:50</t>
  </si>
  <si>
    <t>OID6057</t>
  </si>
  <si>
    <t>12:51:15</t>
  </si>
  <si>
    <t>23:34:55</t>
  </si>
  <si>
    <t>OID3134</t>
  </si>
  <si>
    <t>22:55:27</t>
  </si>
  <si>
    <t>22:37:23</t>
  </si>
  <si>
    <t>OID7980</t>
  </si>
  <si>
    <t>01:31:08</t>
  </si>
  <si>
    <t>14:39:46</t>
  </si>
  <si>
    <t>OID7432</t>
  </si>
  <si>
    <t>15:02:28</t>
  </si>
  <si>
    <t>04:23:57</t>
  </si>
  <si>
    <t>OID9465</t>
  </si>
  <si>
    <t>06:54:02</t>
  </si>
  <si>
    <t>12:39:46</t>
  </si>
  <si>
    <t>CID189</t>
  </si>
  <si>
    <t>Aguilar</t>
  </si>
  <si>
    <t>christine.aguilar@gmail.com</t>
  </si>
  <si>
    <t>3284 Martin Neck, Lopezville, NY 69154</t>
  </si>
  <si>
    <t>OID9872</t>
  </si>
  <si>
    <t>08:20:59</t>
  </si>
  <si>
    <t>17:38:42</t>
  </si>
  <si>
    <t>OID6856</t>
  </si>
  <si>
    <t>14:00:27</t>
  </si>
  <si>
    <t>12:31:34</t>
  </si>
  <si>
    <t>OID1826</t>
  </si>
  <si>
    <t>15:26:43</t>
  </si>
  <si>
    <t>23:02:25</t>
  </si>
  <si>
    <t>OID3421</t>
  </si>
  <si>
    <t>22:25:26</t>
  </si>
  <si>
    <t>20:52:06</t>
  </si>
  <si>
    <t>OID6869</t>
  </si>
  <si>
    <t>00:02:50</t>
  </si>
  <si>
    <t>20:49:10</t>
  </si>
  <si>
    <t>OID6635</t>
  </si>
  <si>
    <t>22:46:23</t>
  </si>
  <si>
    <t>08:30:57</t>
  </si>
  <si>
    <t>OID8295</t>
  </si>
  <si>
    <t>08:00:47</t>
  </si>
  <si>
    <t>17:20:58</t>
  </si>
  <si>
    <t>OID4642</t>
  </si>
  <si>
    <t>09:33:35</t>
  </si>
  <si>
    <t>13:06:14</t>
  </si>
  <si>
    <t>OID7380</t>
  </si>
  <si>
    <t>00:13:11</t>
  </si>
  <si>
    <t>18:31:17</t>
  </si>
  <si>
    <t>OID1086</t>
  </si>
  <si>
    <t>20:01:38</t>
  </si>
  <si>
    <t>12:58:48</t>
  </si>
  <si>
    <t>OID6936</t>
  </si>
  <si>
    <t>06:33:55</t>
  </si>
  <si>
    <t>13:05:17</t>
  </si>
  <si>
    <t>CID162</t>
  </si>
  <si>
    <t>Summers</t>
  </si>
  <si>
    <t>mark.summers@outlook.com</t>
  </si>
  <si>
    <t>08413 Lynch Parkway, Calderonstad, NV 32697</t>
  </si>
  <si>
    <t>OID2938</t>
  </si>
  <si>
    <t>19:46:32</t>
  </si>
  <si>
    <t>23:22:12</t>
  </si>
  <si>
    <t>OID8074</t>
  </si>
  <si>
    <t>20:47:44</t>
  </si>
  <si>
    <t>00:16:22</t>
  </si>
  <si>
    <t>OID1076</t>
  </si>
  <si>
    <t>14:37:23</t>
  </si>
  <si>
    <t>01:58:28</t>
  </si>
  <si>
    <t>OID8347</t>
  </si>
  <si>
    <t>00:08:51</t>
  </si>
  <si>
    <t>10:47:50</t>
  </si>
  <si>
    <t>OID6373</t>
  </si>
  <si>
    <t>09:31:27</t>
  </si>
  <si>
    <t>OID5913</t>
  </si>
  <si>
    <t>09:46:43</t>
  </si>
  <si>
    <t>06:31:08</t>
  </si>
  <si>
    <t>OID2941</t>
  </si>
  <si>
    <t>21:17:39</t>
  </si>
  <si>
    <t>06:07:50</t>
  </si>
  <si>
    <t>CID104</t>
  </si>
  <si>
    <t>Gary</t>
  </si>
  <si>
    <t>Huff</t>
  </si>
  <si>
    <t>gary.huff@gmail.com</t>
  </si>
  <si>
    <t>58608 Alexander Terrace, South Bryan, SC 85541</t>
  </si>
  <si>
    <t>OID9627</t>
  </si>
  <si>
    <t>12:28:28</t>
  </si>
  <si>
    <t>12:21:43</t>
  </si>
  <si>
    <t>OID9705</t>
  </si>
  <si>
    <t>03:29:39</t>
  </si>
  <si>
    <t>23:33:34</t>
  </si>
  <si>
    <t>OID7486</t>
  </si>
  <si>
    <t>18:27:23</t>
  </si>
  <si>
    <t>12:42:53</t>
  </si>
  <si>
    <t>OID4560</t>
  </si>
  <si>
    <t>14:41:09</t>
  </si>
  <si>
    <t>07:56:25</t>
  </si>
  <si>
    <t>OID1379</t>
  </si>
  <si>
    <t>11:50:19</t>
  </si>
  <si>
    <t>11:48:40</t>
  </si>
  <si>
    <t>OID8114</t>
  </si>
  <si>
    <t>10:24:24</t>
  </si>
  <si>
    <t>20:08:57</t>
  </si>
  <si>
    <t>OID9805</t>
  </si>
  <si>
    <t>23:35:16</t>
  </si>
  <si>
    <t>01:46:46</t>
  </si>
  <si>
    <t>OID7003</t>
  </si>
  <si>
    <t>04:53:37</t>
  </si>
  <si>
    <t>07:56:46</t>
  </si>
  <si>
    <t>OID5372</t>
  </si>
  <si>
    <t>21:25:23</t>
  </si>
  <si>
    <t>15:58:45</t>
  </si>
  <si>
    <t>OID4097</t>
  </si>
  <si>
    <t>18:03:08</t>
  </si>
  <si>
    <t>10:45:58</t>
  </si>
  <si>
    <t>OID7090</t>
  </si>
  <si>
    <t>02:55:39</t>
  </si>
  <si>
    <t>13:12:04</t>
  </si>
  <si>
    <t>OID8741</t>
  </si>
  <si>
    <t>23:25:51</t>
  </si>
  <si>
    <t>09:03:16</t>
  </si>
  <si>
    <t>OID6002</t>
  </si>
  <si>
    <t>05:28:12</t>
  </si>
  <si>
    <t>09:29:13</t>
  </si>
  <si>
    <t>OID8585</t>
  </si>
  <si>
    <t>16:44:13</t>
  </si>
  <si>
    <t>23:19:19</t>
  </si>
  <si>
    <t>OID6767</t>
  </si>
  <si>
    <t>17:52:44</t>
  </si>
  <si>
    <t>14:18:48</t>
  </si>
  <si>
    <t>OID4369</t>
  </si>
  <si>
    <t>22:31:31</t>
  </si>
  <si>
    <t>17:01:58</t>
  </si>
  <si>
    <t>OID5283</t>
  </si>
  <si>
    <t>18:43:17</t>
  </si>
  <si>
    <t>07:02:28</t>
  </si>
  <si>
    <t>OID2949</t>
  </si>
  <si>
    <t>09:55:21</t>
  </si>
  <si>
    <t>22:38:31</t>
  </si>
  <si>
    <t>OID1071</t>
  </si>
  <si>
    <t>06:47:14</t>
  </si>
  <si>
    <t>05:46:18</t>
  </si>
  <si>
    <t>OID7412</t>
  </si>
  <si>
    <t>22:41:22</t>
  </si>
  <si>
    <t>03:01:00</t>
  </si>
  <si>
    <t>CID138</t>
  </si>
  <si>
    <t>Mike</t>
  </si>
  <si>
    <t>Carter</t>
  </si>
  <si>
    <t>mike.carter@rediffmail.com</t>
  </si>
  <si>
    <t>3971 Ortiz Fields, Lake Jackfort, IA 97132</t>
  </si>
  <si>
    <t>OID6541</t>
  </si>
  <si>
    <t>08:35:05</t>
  </si>
  <si>
    <t>09:50:44</t>
  </si>
  <si>
    <t>OID3550</t>
  </si>
  <si>
    <t>06:30:57</t>
  </si>
  <si>
    <t>08:01:14</t>
  </si>
  <si>
    <t>OID7812</t>
  </si>
  <si>
    <t>09:01:24</t>
  </si>
  <si>
    <t>18:41:50</t>
  </si>
  <si>
    <t>OID4101</t>
  </si>
  <si>
    <t>10:38:44</t>
  </si>
  <si>
    <t>15:48:50</t>
  </si>
  <si>
    <t>OID2704</t>
  </si>
  <si>
    <t>08:44:39</t>
  </si>
  <si>
    <t>13:35:45</t>
  </si>
  <si>
    <t>OID3902</t>
  </si>
  <si>
    <t>10:10:51</t>
  </si>
  <si>
    <t>02:58:17</t>
  </si>
  <si>
    <t>CID142</t>
  </si>
  <si>
    <t>Owens</t>
  </si>
  <si>
    <t>thomas.owens@outlook.com</t>
  </si>
  <si>
    <t>43920 Shaffer Valley Suite 531, South Jerry, MD 67120</t>
  </si>
  <si>
    <t>OID6097</t>
  </si>
  <si>
    <t>06:46:28</t>
  </si>
  <si>
    <t>11:47:41</t>
  </si>
  <si>
    <t>OID2270</t>
  </si>
  <si>
    <t>22:27:32</t>
  </si>
  <si>
    <t>22:31:13</t>
  </si>
  <si>
    <t>OID4575</t>
  </si>
  <si>
    <t>18:42:20</t>
  </si>
  <si>
    <t>00:21:21</t>
  </si>
  <si>
    <t>OID2338</t>
  </si>
  <si>
    <t>22:07:35</t>
  </si>
  <si>
    <t>03:39:43</t>
  </si>
  <si>
    <t>OID9816</t>
  </si>
  <si>
    <t>07:28:42</t>
  </si>
  <si>
    <t>12:34:57</t>
  </si>
  <si>
    <t>CID113</t>
  </si>
  <si>
    <t>Brendan</t>
  </si>
  <si>
    <t>Kelly</t>
  </si>
  <si>
    <t>brendan.kelly@rediffmail.com</t>
  </si>
  <si>
    <t>688 Donald Oval Suite 089, Shepardport, CA 50844</t>
  </si>
  <si>
    <t>OID1586</t>
  </si>
  <si>
    <t>14:01:51</t>
  </si>
  <si>
    <t>23:41:13</t>
  </si>
  <si>
    <t>OID9630</t>
  </si>
  <si>
    <t>20:50:23</t>
  </si>
  <si>
    <t>01:51:44</t>
  </si>
  <si>
    <t>CID102</t>
  </si>
  <si>
    <t>Jessica</t>
  </si>
  <si>
    <t>Ruiz</t>
  </si>
  <si>
    <t>jessica.ruiz@rediffmail.com</t>
  </si>
  <si>
    <t>02370 Laura Station Suite 309, Brandonville, DE 18875</t>
  </si>
  <si>
    <t>OID8034</t>
  </si>
  <si>
    <t>08:30:48</t>
  </si>
  <si>
    <t>01:26:28</t>
  </si>
  <si>
    <t>OID4815</t>
  </si>
  <si>
    <t>05:34:02</t>
  </si>
  <si>
    <t>15:11:50</t>
  </si>
  <si>
    <t>OID1898</t>
  </si>
  <si>
    <t>22:30:30</t>
  </si>
  <si>
    <t>23:12:23</t>
  </si>
  <si>
    <t>OID7454</t>
  </si>
  <si>
    <t>06:13:30</t>
  </si>
  <si>
    <t>00:33:32</t>
  </si>
  <si>
    <t>CID117</t>
  </si>
  <si>
    <t>Hannah</t>
  </si>
  <si>
    <t>Gutierrez</t>
  </si>
  <si>
    <t>hannah.gutierrez@yahoo.com</t>
  </si>
  <si>
    <t>2420 David Manors, Jessicaland, CT 41698</t>
  </si>
  <si>
    <t>OID2597</t>
  </si>
  <si>
    <t>14:11:09</t>
  </si>
  <si>
    <t>00:33:26</t>
  </si>
  <si>
    <t>CID154</t>
  </si>
  <si>
    <t>Casey</t>
  </si>
  <si>
    <t>angela.casey@gmail.com</t>
  </si>
  <si>
    <t>089 Farley Terrace, Thomashaven, MT 56607</t>
  </si>
  <si>
    <t>OID6600</t>
  </si>
  <si>
    <t>22:46:20</t>
  </si>
  <si>
    <t>15:31:26</t>
  </si>
  <si>
    <t>OID3490</t>
  </si>
  <si>
    <t>03:47:08</t>
  </si>
  <si>
    <t>03:23:26</t>
  </si>
  <si>
    <t>OID5561</t>
  </si>
  <si>
    <t>07:21:30</t>
  </si>
  <si>
    <t>09:57:13</t>
  </si>
  <si>
    <t>OID8830</t>
  </si>
  <si>
    <t>16:49:20</t>
  </si>
  <si>
    <t>22:40:50</t>
  </si>
  <si>
    <t>OID9527</t>
  </si>
  <si>
    <t>16:59:25</t>
  </si>
  <si>
    <t>13:29:40</t>
  </si>
  <si>
    <t>OID1067</t>
  </si>
  <si>
    <t>06:15:44</t>
  </si>
  <si>
    <t>09:11:07</t>
  </si>
  <si>
    <t>OID2119</t>
  </si>
  <si>
    <t>17:29:54</t>
  </si>
  <si>
    <t>07:27:00</t>
  </si>
  <si>
    <t>OID5802</t>
  </si>
  <si>
    <t>05:25:01</t>
  </si>
  <si>
    <t>02:19:52</t>
  </si>
  <si>
    <t>OID4569</t>
  </si>
  <si>
    <t>00:49:15</t>
  </si>
  <si>
    <t>07:05:22</t>
  </si>
  <si>
    <t>OID1508</t>
  </si>
  <si>
    <t>10:13:34</t>
  </si>
  <si>
    <t>00:06:39</t>
  </si>
  <si>
    <t>OID3969</t>
  </si>
  <si>
    <t>22:48:36</t>
  </si>
  <si>
    <t>11:30:05</t>
  </si>
  <si>
    <t>OID8974</t>
  </si>
  <si>
    <t>03:37:20</t>
  </si>
  <si>
    <t>08:01:11</t>
  </si>
  <si>
    <t>OID6987</t>
  </si>
  <si>
    <t>23:47:53</t>
  </si>
  <si>
    <t>00:49:45</t>
  </si>
  <si>
    <t>OID5834</t>
  </si>
  <si>
    <t>15:54:45</t>
  </si>
  <si>
    <t>19:22:50</t>
  </si>
  <si>
    <t>OID3980</t>
  </si>
  <si>
    <t>21:10:06</t>
  </si>
  <si>
    <t>08:42:57</t>
  </si>
  <si>
    <t>OID9700</t>
  </si>
  <si>
    <t>17:39:16</t>
  </si>
  <si>
    <t>05:28:25</t>
  </si>
  <si>
    <t>OID1135</t>
  </si>
  <si>
    <t>21:59:14</t>
  </si>
  <si>
    <t>00:34:58</t>
  </si>
  <si>
    <t>OID9451</t>
  </si>
  <si>
    <t>21:47:08</t>
  </si>
  <si>
    <t>12:42:34</t>
  </si>
  <si>
    <t>OID4659</t>
  </si>
  <si>
    <t>00:57:26</t>
  </si>
  <si>
    <t>23:16:52</t>
  </si>
  <si>
    <t>CID141</t>
  </si>
  <si>
    <t>Megan</t>
  </si>
  <si>
    <t>Hunt</t>
  </si>
  <si>
    <t>megan.hunt@rediffmail.com</t>
  </si>
  <si>
    <t>03765 Velazquez Knoll Suite 478, Richardshire, UT 17200</t>
  </si>
  <si>
    <t>OID7205</t>
  </si>
  <si>
    <t>21:16:04</t>
  </si>
  <si>
    <t>10:41:25</t>
  </si>
  <si>
    <t>OID9735</t>
  </si>
  <si>
    <t>20:03:28</t>
  </si>
  <si>
    <t>11:16:12</t>
  </si>
  <si>
    <t>CID122</t>
  </si>
  <si>
    <t>Jared</t>
  </si>
  <si>
    <t>Horn</t>
  </si>
  <si>
    <t>jared.horn@outlook.com</t>
  </si>
  <si>
    <t>43325 Barbara Tunnel, Port James, LA 16246</t>
  </si>
  <si>
    <t>OID3358</t>
  </si>
  <si>
    <t>15:38:50</t>
  </si>
  <si>
    <t>12:50:53</t>
  </si>
  <si>
    <t>OID4719</t>
  </si>
  <si>
    <t>03:13:28</t>
  </si>
  <si>
    <t>07:58:28</t>
  </si>
  <si>
    <t>OID8203</t>
  </si>
  <si>
    <t>12:54:20</t>
  </si>
  <si>
    <t>17:32:38</t>
  </si>
  <si>
    <t>CID131</t>
  </si>
  <si>
    <t>Veronica</t>
  </si>
  <si>
    <t>veronica.lopez@gmail.com</t>
  </si>
  <si>
    <t>660 Karen Station Apt. 887, Allenside, ID 03170</t>
  </si>
  <si>
    <t>OID2353</t>
  </si>
  <si>
    <t>15:59:36</t>
  </si>
  <si>
    <t>07:38:19</t>
  </si>
  <si>
    <t>OID5255</t>
  </si>
  <si>
    <t>19:52:34</t>
  </si>
  <si>
    <t>07:40:09</t>
  </si>
  <si>
    <t>CID157</t>
  </si>
  <si>
    <t>Benson</t>
  </si>
  <si>
    <t>sarah.benson@outlook.com</t>
  </si>
  <si>
    <t>5399 Hayes Well, West Pennystad, IL 93798</t>
  </si>
  <si>
    <t>OID7946</t>
  </si>
  <si>
    <t>20:27:13</t>
  </si>
  <si>
    <t>22:27:12</t>
  </si>
  <si>
    <t>OID1159</t>
  </si>
  <si>
    <t>04:24:31</t>
  </si>
  <si>
    <t>06:44:34</t>
  </si>
  <si>
    <t>OID5186</t>
  </si>
  <si>
    <t>05:26:44</t>
  </si>
  <si>
    <t>06:17:48</t>
  </si>
  <si>
    <t>OID7156</t>
  </si>
  <si>
    <t>13:33:00</t>
  </si>
  <si>
    <t>16:40:47</t>
  </si>
  <si>
    <t>OID3574</t>
  </si>
  <si>
    <t>22:42:24</t>
  </si>
  <si>
    <t>19:19:52</t>
  </si>
  <si>
    <t>OID1477</t>
  </si>
  <si>
    <t>07:28:15</t>
  </si>
  <si>
    <t>12:59:43</t>
  </si>
  <si>
    <t>OID2944</t>
  </si>
  <si>
    <t>05:37:56</t>
  </si>
  <si>
    <t>15:40:22</t>
  </si>
  <si>
    <t>OID5130</t>
  </si>
  <si>
    <t>20:10:43</t>
  </si>
  <si>
    <t>08:44:22</t>
  </si>
  <si>
    <t>OID7754</t>
  </si>
  <si>
    <t>12:34:36</t>
  </si>
  <si>
    <t>10:14:17</t>
  </si>
  <si>
    <t>OID1246</t>
  </si>
  <si>
    <t>05:06:18</t>
  </si>
  <si>
    <t>20:00:01</t>
  </si>
  <si>
    <t>OID8680</t>
  </si>
  <si>
    <t>14:47:52</t>
  </si>
  <si>
    <t>17:06:11</t>
  </si>
  <si>
    <t>OID7102</t>
  </si>
  <si>
    <t>20:27:42</t>
  </si>
  <si>
    <t>10:15:00</t>
  </si>
  <si>
    <t>OID7555</t>
  </si>
  <si>
    <t>13:24:08</t>
  </si>
  <si>
    <t>07:39:38</t>
  </si>
  <si>
    <t>OID3165</t>
  </si>
  <si>
    <t>09:58:35</t>
  </si>
  <si>
    <t>14:02:18</t>
  </si>
  <si>
    <t>OID9628</t>
  </si>
  <si>
    <t>06:20:30</t>
  </si>
  <si>
    <t>20:45:00</t>
  </si>
  <si>
    <t>OID9782</t>
  </si>
  <si>
    <t>17:53:01</t>
  </si>
  <si>
    <t>05:26:03</t>
  </si>
  <si>
    <t>OID7302</t>
  </si>
  <si>
    <t>03:43:05</t>
  </si>
  <si>
    <t>17:57:56</t>
  </si>
  <si>
    <t>OID4580</t>
  </si>
  <si>
    <t>02:56:56</t>
  </si>
  <si>
    <t>11:28:09</t>
  </si>
  <si>
    <t>OID7954</t>
  </si>
  <si>
    <t>04:29:06</t>
  </si>
  <si>
    <t>22:44:53</t>
  </si>
  <si>
    <t>OID6246</t>
  </si>
  <si>
    <t>10:04:49</t>
  </si>
  <si>
    <t>22:07:13</t>
  </si>
  <si>
    <t>OID5671</t>
  </si>
  <si>
    <t>23:44:50</t>
  </si>
  <si>
    <t>04:23:25</t>
  </si>
  <si>
    <t>OID3145</t>
  </si>
  <si>
    <t>17:40:16</t>
  </si>
  <si>
    <t>19:38:50</t>
  </si>
  <si>
    <t>OID8575</t>
  </si>
  <si>
    <t>09:51:24</t>
  </si>
  <si>
    <t>00:10:27</t>
  </si>
  <si>
    <t>OID7910</t>
  </si>
  <si>
    <t>05:56:42</t>
  </si>
  <si>
    <t>03:42:23</t>
  </si>
  <si>
    <t>OID1179</t>
  </si>
  <si>
    <t>06:33:59</t>
  </si>
  <si>
    <t>13:29:05</t>
  </si>
  <si>
    <t>OID1041</t>
  </si>
  <si>
    <t>01:23:40</t>
  </si>
  <si>
    <t>19:01:55</t>
  </si>
  <si>
    <t>OID1693</t>
  </si>
  <si>
    <t>18:29:39</t>
  </si>
  <si>
    <t>02:01:44</t>
  </si>
  <si>
    <t>OID8609</t>
  </si>
  <si>
    <t>13:33:06</t>
  </si>
  <si>
    <t>04:01:49</t>
  </si>
  <si>
    <t>OID9578</t>
  </si>
  <si>
    <t>15:56:55</t>
  </si>
  <si>
    <t>18:16:24</t>
  </si>
  <si>
    <t>OID5985</t>
  </si>
  <si>
    <t>14:57:23</t>
  </si>
  <si>
    <t>09:49:51</t>
  </si>
  <si>
    <t>OID2571</t>
  </si>
  <si>
    <t>19:33:36</t>
  </si>
  <si>
    <t>06:30:50</t>
  </si>
  <si>
    <t>OID6045</t>
  </si>
  <si>
    <t>17:53:46</t>
  </si>
  <si>
    <t>18:13:08</t>
  </si>
  <si>
    <t>OID1336</t>
  </si>
  <si>
    <t>13:40:58</t>
  </si>
  <si>
    <t>02:14:28</t>
  </si>
  <si>
    <t>OID7117</t>
  </si>
  <si>
    <t>04:49:20</t>
  </si>
  <si>
    <t>16:13:35</t>
  </si>
  <si>
    <t>OID3749</t>
  </si>
  <si>
    <t>16:34:44</t>
  </si>
  <si>
    <t>16:28:56</t>
  </si>
  <si>
    <t>OID7008</t>
  </si>
  <si>
    <t>04:12:20</t>
  </si>
  <si>
    <t>01:46:13</t>
  </si>
  <si>
    <t>OID8913</t>
  </si>
  <si>
    <t>20:53:04</t>
  </si>
  <si>
    <t>00:48:16</t>
  </si>
  <si>
    <t>CID164</t>
  </si>
  <si>
    <t>Lane</t>
  </si>
  <si>
    <t>lauren.lane@gmail.com</t>
  </si>
  <si>
    <t>56985 Sergio Extensions, Port Albert, CO 02898</t>
  </si>
  <si>
    <t>OID1597</t>
  </si>
  <si>
    <t>05:27:44</t>
  </si>
  <si>
    <t>21:00:17</t>
  </si>
  <si>
    <t>OID4412</t>
  </si>
  <si>
    <t>06:35:14</t>
  </si>
  <si>
    <t>23:36:21</t>
  </si>
  <si>
    <t>OID3900</t>
  </si>
  <si>
    <t>20:14:30</t>
  </si>
  <si>
    <t>12:31:00</t>
  </si>
  <si>
    <t>OID9756</t>
  </si>
  <si>
    <t>06:46:07</t>
  </si>
  <si>
    <t>19:17:45</t>
  </si>
  <si>
    <t>CID151</t>
  </si>
  <si>
    <t>Richmond</t>
  </si>
  <si>
    <t>william.richmond@outlook.com</t>
  </si>
  <si>
    <t>4021 Brown Orchard Apt. 026, Christinahaven, OK 18499</t>
  </si>
  <si>
    <t>OID8307</t>
  </si>
  <si>
    <t>23:19:47</t>
  </si>
  <si>
    <t>16:06:37</t>
  </si>
  <si>
    <t>OID5575</t>
  </si>
  <si>
    <t>12:50:48</t>
  </si>
  <si>
    <t>19:56:33</t>
  </si>
  <si>
    <t>OID5883</t>
  </si>
  <si>
    <t>21:08:26</t>
  </si>
  <si>
    <t>09:20:03</t>
  </si>
  <si>
    <t>OID6340</t>
  </si>
  <si>
    <t>10:50:30</t>
  </si>
  <si>
    <t>16:59:14</t>
  </si>
  <si>
    <t>OID2501</t>
  </si>
  <si>
    <t>11:53:55</t>
  </si>
  <si>
    <t>00:56:01</t>
  </si>
  <si>
    <t>OID6973</t>
  </si>
  <si>
    <t>04:03:12</t>
  </si>
  <si>
    <t>13:27:06</t>
  </si>
  <si>
    <t>OID6597</t>
  </si>
  <si>
    <t>19:44:28</t>
  </si>
  <si>
    <t>02:51:48</t>
  </si>
  <si>
    <t>OID4840</t>
  </si>
  <si>
    <t>12:38:37</t>
  </si>
  <si>
    <t>19:14:57</t>
  </si>
  <si>
    <t>OID5389</t>
  </si>
  <si>
    <t>14:52:37</t>
  </si>
  <si>
    <t>09:59:33</t>
  </si>
  <si>
    <t>OID8649</t>
  </si>
  <si>
    <t>08:43:40</t>
  </si>
  <si>
    <t>05:13:28</t>
  </si>
  <si>
    <t>OID2779</t>
  </si>
  <si>
    <t>03:11:02</t>
  </si>
  <si>
    <t>19:39:57</t>
  </si>
  <si>
    <t>OID4185</t>
  </si>
  <si>
    <t>17:17:44</t>
  </si>
  <si>
    <t>11:45:52</t>
  </si>
  <si>
    <t>OID1243</t>
  </si>
  <si>
    <t>17:27:56</t>
  </si>
  <si>
    <t>05:22:25</t>
  </si>
  <si>
    <t>OID4147</t>
  </si>
  <si>
    <t>03:23:04</t>
  </si>
  <si>
    <t>05:02:16</t>
  </si>
  <si>
    <t>OID3681</t>
  </si>
  <si>
    <t>08:45:23</t>
  </si>
  <si>
    <t>15:13:07</t>
  </si>
  <si>
    <t>OID5229</t>
  </si>
  <si>
    <t>08:36:31</t>
  </si>
  <si>
    <t>19:33:15</t>
  </si>
  <si>
    <t>OID9990</t>
  </si>
  <si>
    <t>21:53:54</t>
  </si>
  <si>
    <t>23:00:06</t>
  </si>
  <si>
    <t>OID1756</t>
  </si>
  <si>
    <t>10:58:30</t>
  </si>
  <si>
    <t>13:36:46</t>
  </si>
  <si>
    <t>OID1866</t>
  </si>
  <si>
    <t>05:53:55</t>
  </si>
  <si>
    <t>02:00:46</t>
  </si>
  <si>
    <t>OID2619</t>
  </si>
  <si>
    <t>11:51:15</t>
  </si>
  <si>
    <t>10:20:47</t>
  </si>
  <si>
    <t>OID2505</t>
  </si>
  <si>
    <t>12:37:13</t>
  </si>
  <si>
    <t>14:41:40</t>
  </si>
  <si>
    <t>OID7850</t>
  </si>
  <si>
    <t>14:59:43</t>
  </si>
  <si>
    <t>06:29:31</t>
  </si>
  <si>
    <t>OID1966</t>
  </si>
  <si>
    <t>14:04:30</t>
  </si>
  <si>
    <t>02:17:23</t>
  </si>
  <si>
    <t>OID3837</t>
  </si>
  <si>
    <t>19:09:08</t>
  </si>
  <si>
    <t>23:23:19</t>
  </si>
  <si>
    <t>OID9187</t>
  </si>
  <si>
    <t>23:47:36</t>
  </si>
  <si>
    <t>04:39:51</t>
  </si>
  <si>
    <t>OID3760</t>
  </si>
  <si>
    <t>09:05:02</t>
  </si>
  <si>
    <t>05:31:50</t>
  </si>
  <si>
    <t>OID7065</t>
  </si>
  <si>
    <t>09:15:42</t>
  </si>
  <si>
    <t>09:33:25</t>
  </si>
  <si>
    <t>OID6906</t>
  </si>
  <si>
    <t>16:29:18</t>
  </si>
  <si>
    <t>19:58:19</t>
  </si>
  <si>
    <t>OID7996</t>
  </si>
  <si>
    <t>17:23:49</t>
  </si>
  <si>
    <t>OID9247</t>
  </si>
  <si>
    <t>06:51:49</t>
  </si>
  <si>
    <t>08:40:53</t>
  </si>
  <si>
    <t>OID7303</t>
  </si>
  <si>
    <t>23:40:03</t>
  </si>
  <si>
    <t>09:33:08</t>
  </si>
  <si>
    <t>OID2173</t>
  </si>
  <si>
    <t>00:41:18</t>
  </si>
  <si>
    <t>09:19:40</t>
  </si>
  <si>
    <t>OID5367</t>
  </si>
  <si>
    <t>23:27:24</t>
  </si>
  <si>
    <t>06:00:22</t>
  </si>
  <si>
    <t>OID9748</t>
  </si>
  <si>
    <t>02:46:27</t>
  </si>
  <si>
    <t>06:40:47</t>
  </si>
  <si>
    <t>OID6469</t>
  </si>
  <si>
    <t>06:59:53</t>
  </si>
  <si>
    <t>21:07:49</t>
  </si>
  <si>
    <t>OID1013</t>
  </si>
  <si>
    <t>20:28:31</t>
  </si>
  <si>
    <t>22:26:18</t>
  </si>
  <si>
    <t>OID1219</t>
  </si>
  <si>
    <t>13:39:02</t>
  </si>
  <si>
    <t>06:39:28</t>
  </si>
  <si>
    <t>OID9988</t>
  </si>
  <si>
    <t>09:27:52</t>
  </si>
  <si>
    <t>20:53:18</t>
  </si>
  <si>
    <t>OID1669</t>
  </si>
  <si>
    <t>04:59:13</t>
  </si>
  <si>
    <t>16:22:11</t>
  </si>
  <si>
    <t>OID7329</t>
  </si>
  <si>
    <t>01:19:42</t>
  </si>
  <si>
    <t>01:52:14</t>
  </si>
  <si>
    <t>OID2873</t>
  </si>
  <si>
    <t>05:54:36</t>
  </si>
  <si>
    <t>17:18:51</t>
  </si>
  <si>
    <t>OID4932</t>
  </si>
  <si>
    <t>06:50:14</t>
  </si>
  <si>
    <t>13:55:34</t>
  </si>
  <si>
    <t>OID4169</t>
  </si>
  <si>
    <t>11:52:12</t>
  </si>
  <si>
    <t>23:25:32</t>
  </si>
  <si>
    <t>OID6945</t>
  </si>
  <si>
    <t>19:37:21</t>
  </si>
  <si>
    <t>03:13:08</t>
  </si>
  <si>
    <t>OID6794</t>
  </si>
  <si>
    <t>15:34:31</t>
  </si>
  <si>
    <t>10:35:02</t>
  </si>
  <si>
    <t>OID2412</t>
  </si>
  <si>
    <t>14:35:45</t>
  </si>
  <si>
    <t>07:09:27</t>
  </si>
  <si>
    <t>CID114</t>
  </si>
  <si>
    <t>Crane</t>
  </si>
  <si>
    <t>lauren.crane@yahoo.com</t>
  </si>
  <si>
    <t>30313 Reyes Parkways Suite 392, Port Bradley, SC 24078</t>
  </si>
  <si>
    <t>OID8162</t>
  </si>
  <si>
    <t>07:24:54</t>
  </si>
  <si>
    <t>03:15:28</t>
  </si>
  <si>
    <t>OID8860</t>
  </si>
  <si>
    <t>06:00:55</t>
  </si>
  <si>
    <t>22:23:18</t>
  </si>
  <si>
    <t>OID2523</t>
  </si>
  <si>
    <t>05:46:53</t>
  </si>
  <si>
    <t>01:30:58</t>
  </si>
  <si>
    <t>OID7382</t>
  </si>
  <si>
    <t>08:34:53</t>
  </si>
  <si>
    <t>13:26:32</t>
  </si>
  <si>
    <t>OID7593</t>
  </si>
  <si>
    <t>15:18:11</t>
  </si>
  <si>
    <t>23:05:05</t>
  </si>
  <si>
    <t>OID9980</t>
  </si>
  <si>
    <t>11:00:03</t>
  </si>
  <si>
    <t>15:17:48</t>
  </si>
  <si>
    <t>OID2440</t>
  </si>
  <si>
    <t>08:26:50</t>
  </si>
  <si>
    <t>19:28:55</t>
  </si>
  <si>
    <t>OID7256</t>
  </si>
  <si>
    <t>00:24:43</t>
  </si>
  <si>
    <t>08:45:35</t>
  </si>
  <si>
    <t>OID6854</t>
  </si>
  <si>
    <t>10:05:03</t>
  </si>
  <si>
    <t>10:06:44</t>
  </si>
  <si>
    <t>OID9600</t>
  </si>
  <si>
    <t>04:19:31</t>
  </si>
  <si>
    <t>17:52:11</t>
  </si>
  <si>
    <t>OID3186</t>
  </si>
  <si>
    <t>17:14:37</t>
  </si>
  <si>
    <t>12:54:21</t>
  </si>
  <si>
    <t>OID1420</t>
  </si>
  <si>
    <t>18:45:41</t>
  </si>
  <si>
    <t>21:20:42</t>
  </si>
  <si>
    <t>OID4436</t>
  </si>
  <si>
    <t>23:43:28</t>
  </si>
  <si>
    <t>12:35:16</t>
  </si>
  <si>
    <t>OID6410</t>
  </si>
  <si>
    <t>06:38:04</t>
  </si>
  <si>
    <t>08:13:41</t>
  </si>
  <si>
    <t>OID4538</t>
  </si>
  <si>
    <t>12:27:25</t>
  </si>
  <si>
    <t>23:59:41</t>
  </si>
  <si>
    <t>OID8225</t>
  </si>
  <si>
    <t>10:41:43</t>
  </si>
  <si>
    <t>19:20:26</t>
  </si>
  <si>
    <t>OID2099</t>
  </si>
  <si>
    <t>09:19:53</t>
  </si>
  <si>
    <t>14:30:24</t>
  </si>
  <si>
    <t>OID9222</t>
  </si>
  <si>
    <t>11:38:36</t>
  </si>
  <si>
    <t>21:12:03</t>
  </si>
  <si>
    <t>OID3523</t>
  </si>
  <si>
    <t>10:33:52</t>
  </si>
  <si>
    <t>11:21:30</t>
  </si>
  <si>
    <t>OID3834</t>
  </si>
  <si>
    <t>22:42:39</t>
  </si>
  <si>
    <t>23:12:16</t>
  </si>
  <si>
    <t>OID9975</t>
  </si>
  <si>
    <t>09:31:29</t>
  </si>
  <si>
    <t>07:20:39</t>
  </si>
  <si>
    <t>OID6893</t>
  </si>
  <si>
    <t>09:19:46</t>
  </si>
  <si>
    <t>02:07:12</t>
  </si>
  <si>
    <t>OID8192</t>
  </si>
  <si>
    <t>21:14:38</t>
  </si>
  <si>
    <t>OID7904</t>
  </si>
  <si>
    <t>15:58:53</t>
  </si>
  <si>
    <t>14:14:53</t>
  </si>
  <si>
    <t>OID5999</t>
  </si>
  <si>
    <t>17:44:01</t>
  </si>
  <si>
    <t>16:03:33</t>
  </si>
  <si>
    <t>OID7409</t>
  </si>
  <si>
    <t>02:54:23</t>
  </si>
  <si>
    <t>18:15:03</t>
  </si>
  <si>
    <t>OID8708</t>
  </si>
  <si>
    <t>07:05:11</t>
  </si>
  <si>
    <t>OID5745</t>
  </si>
  <si>
    <t>02:16:10</t>
  </si>
  <si>
    <t>06:31:20</t>
  </si>
  <si>
    <t>OID9178</t>
  </si>
  <si>
    <t>18:34:02</t>
  </si>
  <si>
    <t>13:27:30</t>
  </si>
  <si>
    <t>OID2529</t>
  </si>
  <si>
    <t>14:35:39</t>
  </si>
  <si>
    <t>17:37:51</t>
  </si>
  <si>
    <t>OID3125</t>
  </si>
  <si>
    <t>02:52:20</t>
  </si>
  <si>
    <t>04:02:49</t>
  </si>
  <si>
    <t>OID4011</t>
  </si>
  <si>
    <t>10:33:07</t>
  </si>
  <si>
    <t>06:32:27</t>
  </si>
  <si>
    <t>OID1592</t>
  </si>
  <si>
    <t>01:25:50</t>
  </si>
  <si>
    <t>18:04:09</t>
  </si>
  <si>
    <t>OID7667</t>
  </si>
  <si>
    <t>20:10:30</t>
  </si>
  <si>
    <t>15:08:52</t>
  </si>
  <si>
    <t>OID5182</t>
  </si>
  <si>
    <t>03:46:35</t>
  </si>
  <si>
    <t>11:20:17</t>
  </si>
  <si>
    <t>OID1833</t>
  </si>
  <si>
    <t>00:31:47</t>
  </si>
  <si>
    <t>11:06:01</t>
  </si>
  <si>
    <t>OID5190</t>
  </si>
  <si>
    <t>04:04:19</t>
  </si>
  <si>
    <t>00:48:55</t>
  </si>
  <si>
    <t>CID110</t>
  </si>
  <si>
    <t>Katie</t>
  </si>
  <si>
    <t>katie.hicks@rediffmail.com</t>
  </si>
  <si>
    <t>848 William Port, New Marilyn, SD 58000</t>
  </si>
  <si>
    <t>OID4399</t>
  </si>
  <si>
    <t>07:13:46</t>
  </si>
  <si>
    <t>09:05:57</t>
  </si>
  <si>
    <t>OID8104</t>
  </si>
  <si>
    <t>21:07:18</t>
  </si>
  <si>
    <t>00:38:35</t>
  </si>
  <si>
    <t>CID196</t>
  </si>
  <si>
    <t>Regina</t>
  </si>
  <si>
    <t>Hawkins</t>
  </si>
  <si>
    <t>regina.hawkins@rediffmail.com</t>
  </si>
  <si>
    <t>096 Santos Neck Apt. 937, Benjaminmouth, FL 61454</t>
  </si>
  <si>
    <t>OID1054</t>
  </si>
  <si>
    <t>13:31:33</t>
  </si>
  <si>
    <t>02:03:42</t>
  </si>
  <si>
    <t>OID7828</t>
  </si>
  <si>
    <t>00:57:10</t>
  </si>
  <si>
    <t>03:55:32</t>
  </si>
  <si>
    <t>OID5598</t>
  </si>
  <si>
    <t>00:07:15</t>
  </si>
  <si>
    <t>06:30:27</t>
  </si>
  <si>
    <t>OID7417</t>
  </si>
  <si>
    <t>08:47:14</t>
  </si>
  <si>
    <t>19:25:43</t>
  </si>
  <si>
    <t>OID8004</t>
  </si>
  <si>
    <t>12:05:04</t>
  </si>
  <si>
    <t>18:05:47</t>
  </si>
  <si>
    <t>OID7287</t>
  </si>
  <si>
    <t>05:45:27</t>
  </si>
  <si>
    <t>16:20:46</t>
  </si>
  <si>
    <t>CID177</t>
  </si>
  <si>
    <t>Rachel</t>
  </si>
  <si>
    <t>rachel.lopez@outlook.com</t>
  </si>
  <si>
    <t>90435 Bonnie Points Suite 886, Jenniferfurt, WV 20187</t>
  </si>
  <si>
    <t>OID3637</t>
  </si>
  <si>
    <t>18:27:35</t>
  </si>
  <si>
    <t>15:09:01</t>
  </si>
  <si>
    <t>OID2097</t>
  </si>
  <si>
    <t>08:19:07</t>
  </si>
  <si>
    <t>03:55:26</t>
  </si>
  <si>
    <t>OID3388</t>
  </si>
  <si>
    <t>01:16:23</t>
  </si>
  <si>
    <t>21:24:42</t>
  </si>
  <si>
    <t>OID1114</t>
  </si>
  <si>
    <t>07:59:11</t>
  </si>
  <si>
    <t>05:33:08</t>
  </si>
  <si>
    <t>OID3556</t>
  </si>
  <si>
    <t>02:05:06</t>
  </si>
  <si>
    <t>02:03:44</t>
  </si>
  <si>
    <t>OID9404</t>
  </si>
  <si>
    <t>08:18:15</t>
  </si>
  <si>
    <t>08:36:13</t>
  </si>
  <si>
    <t>OID4552</t>
  </si>
  <si>
    <t>12:10:36</t>
  </si>
  <si>
    <t>23:31:23</t>
  </si>
  <si>
    <t>OID8486</t>
  </si>
  <si>
    <t>00:38:36</t>
  </si>
  <si>
    <t>20:13:27</t>
  </si>
  <si>
    <t>OID4240</t>
  </si>
  <si>
    <t>02:46:16</t>
  </si>
  <si>
    <t>09:28:52</t>
  </si>
  <si>
    <t>OID3727</t>
  </si>
  <si>
    <t>07:58:32</t>
  </si>
  <si>
    <t>OID8955</t>
  </si>
  <si>
    <t>05:37:55</t>
  </si>
  <si>
    <t>12:11:43</t>
  </si>
  <si>
    <t>OID1744</t>
  </si>
  <si>
    <t>01:03:02</t>
  </si>
  <si>
    <t>08:40:48</t>
  </si>
  <si>
    <t>OID5831</t>
  </si>
  <si>
    <t>18:12:36</t>
  </si>
  <si>
    <t>04:54:21</t>
  </si>
  <si>
    <t>OID2842</t>
  </si>
  <si>
    <t>15:52:52</t>
  </si>
  <si>
    <t>22:30:31</t>
  </si>
  <si>
    <t>OID1661</t>
  </si>
  <si>
    <t>11:10:43</t>
  </si>
  <si>
    <t>14:43:30</t>
  </si>
  <si>
    <t>OID9123</t>
  </si>
  <si>
    <t>10:50:23</t>
  </si>
  <si>
    <t>10:39:52</t>
  </si>
  <si>
    <t>OID3981</t>
  </si>
  <si>
    <t>12:04:15</t>
  </si>
  <si>
    <t>05:18:08</t>
  </si>
  <si>
    <t>OID6634</t>
  </si>
  <si>
    <t>02:36:45</t>
  </si>
  <si>
    <t>14:57:01</t>
  </si>
  <si>
    <t>CID106</t>
  </si>
  <si>
    <t>Scott</t>
  </si>
  <si>
    <t>scott.jones@yahoo.com</t>
  </si>
  <si>
    <t>086 Kristin Manor Apt. 829, Marissabury, CT 12152</t>
  </si>
  <si>
    <t>OID9069</t>
  </si>
  <si>
    <t>02:29:46</t>
  </si>
  <si>
    <t>13:28:57</t>
  </si>
  <si>
    <t>OID6802</t>
  </si>
  <si>
    <t>03:00:01</t>
  </si>
  <si>
    <t>06:03:03</t>
  </si>
  <si>
    <t>OID4442</t>
  </si>
  <si>
    <t>01:12:34</t>
  </si>
  <si>
    <t>10:01:43</t>
  </si>
  <si>
    <t>OID4995</t>
  </si>
  <si>
    <t>16:46:34</t>
  </si>
  <si>
    <t>04:45:34</t>
  </si>
  <si>
    <t>OID7650</t>
  </si>
  <si>
    <t>12:40:06</t>
  </si>
  <si>
    <t>03:46:12</t>
  </si>
  <si>
    <t>OID5555</t>
  </si>
  <si>
    <t>21:41:18</t>
  </si>
  <si>
    <t>21:10:12</t>
  </si>
  <si>
    <t>OID1769</t>
  </si>
  <si>
    <t>18:51:12</t>
  </si>
  <si>
    <t>01:58:20</t>
  </si>
  <si>
    <t>OID2189</t>
  </si>
  <si>
    <t>16:35:28</t>
  </si>
  <si>
    <t>07:06:38</t>
  </si>
  <si>
    <t>OID9035</t>
  </si>
  <si>
    <t>15:11:02</t>
  </si>
  <si>
    <t>14:16:59</t>
  </si>
  <si>
    <t>OID4219</t>
  </si>
  <si>
    <t>08:03:37</t>
  </si>
  <si>
    <t>13:50:58</t>
  </si>
  <si>
    <t>OID1694</t>
  </si>
  <si>
    <t>04:43:46</t>
  </si>
  <si>
    <t>01:46:40</t>
  </si>
  <si>
    <t>OID7495</t>
  </si>
  <si>
    <t>21:09:31</t>
  </si>
  <si>
    <t>06:09:19</t>
  </si>
  <si>
    <t>OID1080</t>
  </si>
  <si>
    <t>01:04:28</t>
  </si>
  <si>
    <t>16:40:55</t>
  </si>
  <si>
    <t>OID4539</t>
  </si>
  <si>
    <t>15:06:18</t>
  </si>
  <si>
    <t>03:50:06</t>
  </si>
  <si>
    <t>OID8093</t>
  </si>
  <si>
    <t>15:43:42</t>
  </si>
  <si>
    <t>15:41:25</t>
  </si>
  <si>
    <t>OID1707</t>
  </si>
  <si>
    <t>21:05:38</t>
  </si>
  <si>
    <t>17:28:07</t>
  </si>
  <si>
    <t>OID5703</t>
  </si>
  <si>
    <t>16:01:40</t>
  </si>
  <si>
    <t>02:24:54</t>
  </si>
  <si>
    <t>OID7457</t>
  </si>
  <si>
    <t>13:25:17</t>
  </si>
  <si>
    <t>13:52:42</t>
  </si>
  <si>
    <t>CID197</t>
  </si>
  <si>
    <t>Jacobs</t>
  </si>
  <si>
    <t>gary.jacobs@gmail.com</t>
  </si>
  <si>
    <t>USNV Williams, FPO AP 23197</t>
  </si>
  <si>
    <t>OID4784</t>
  </si>
  <si>
    <t>07:19:13</t>
  </si>
  <si>
    <t>04:47:20</t>
  </si>
  <si>
    <t>OID1726</t>
  </si>
  <si>
    <t>11:30:19</t>
  </si>
  <si>
    <t>02:44:11</t>
  </si>
  <si>
    <t>OID1073</t>
  </si>
  <si>
    <t>03:51:26</t>
  </si>
  <si>
    <t>12:59:30</t>
  </si>
  <si>
    <t>OID7443</t>
  </si>
  <si>
    <t>15:44:41</t>
  </si>
  <si>
    <t>03:08:53</t>
  </si>
  <si>
    <t>OID1025</t>
  </si>
  <si>
    <t>02:29:08</t>
  </si>
  <si>
    <t>01:57:29</t>
  </si>
  <si>
    <t>OID8826</t>
  </si>
  <si>
    <t>04:40:06</t>
  </si>
  <si>
    <t>02:03:57</t>
  </si>
  <si>
    <t>OID6254</t>
  </si>
  <si>
    <t>01:51:31</t>
  </si>
  <si>
    <t>05:04:36</t>
  </si>
  <si>
    <t>OID7518</t>
  </si>
  <si>
    <t>11:55:04</t>
  </si>
  <si>
    <t>05:45:33</t>
  </si>
  <si>
    <t>OID4491</t>
  </si>
  <si>
    <t>16:42:26</t>
  </si>
  <si>
    <t>08:22:44</t>
  </si>
  <si>
    <t>CID146</t>
  </si>
  <si>
    <t>Janice</t>
  </si>
  <si>
    <t>Gordon</t>
  </si>
  <si>
    <t>janice.gordon@yahoo.com</t>
  </si>
  <si>
    <t>5812 Evelyn Mountains Suite 845, Ortiztown, MN 86166</t>
  </si>
  <si>
    <t>OID8288</t>
  </si>
  <si>
    <t>02:55:29</t>
  </si>
  <si>
    <t>04:21:49</t>
  </si>
  <si>
    <t>OID6504</t>
  </si>
  <si>
    <t>12:05:41</t>
  </si>
  <si>
    <t>04:38:50</t>
  </si>
  <si>
    <t>OID2595</t>
  </si>
  <si>
    <t>03:10:32</t>
  </si>
  <si>
    <t>11:44:11</t>
  </si>
  <si>
    <t>OID9478</t>
  </si>
  <si>
    <t>17:54:41</t>
  </si>
  <si>
    <t>08:42:42</t>
  </si>
  <si>
    <t>OID1169</t>
  </si>
  <si>
    <t>07:11:33</t>
  </si>
  <si>
    <t>03:38:41</t>
  </si>
  <si>
    <t>OID6775</t>
  </si>
  <si>
    <t>06:54:03</t>
  </si>
  <si>
    <t>01:13:09</t>
  </si>
  <si>
    <t>OID2383</t>
  </si>
  <si>
    <t>04:44:42</t>
  </si>
  <si>
    <t>02:15:04</t>
  </si>
  <si>
    <t>CID167</t>
  </si>
  <si>
    <t>Diana</t>
  </si>
  <si>
    <t>French</t>
  </si>
  <si>
    <t>diana.french@outlook.com</t>
  </si>
  <si>
    <t>163 Jeffrey Drive, South Mary, NH 23999</t>
  </si>
  <si>
    <t>OID3750</t>
  </si>
  <si>
    <t>04:44:04</t>
  </si>
  <si>
    <t>21:00:20</t>
  </si>
  <si>
    <t>OID4837</t>
  </si>
  <si>
    <t>22:42:38</t>
  </si>
  <si>
    <t>12:41:59</t>
  </si>
  <si>
    <t>OID6975</t>
  </si>
  <si>
    <t>18:23:17</t>
  </si>
  <si>
    <t>19:23:44</t>
  </si>
  <si>
    <t>OID1869</t>
  </si>
  <si>
    <t>12:14:10</t>
  </si>
  <si>
    <t>03:34:04</t>
  </si>
  <si>
    <t>OID3921</t>
  </si>
  <si>
    <t>04:53:45</t>
  </si>
  <si>
    <t>05:48:22</t>
  </si>
  <si>
    <t>OID4056</t>
  </si>
  <si>
    <t>10:23:23</t>
  </si>
  <si>
    <t>21:18:46</t>
  </si>
  <si>
    <t>OID4907</t>
  </si>
  <si>
    <t>20:13:44</t>
  </si>
  <si>
    <t>09:06:18</t>
  </si>
  <si>
    <t>OID9684</t>
  </si>
  <si>
    <t>12:43:07</t>
  </si>
  <si>
    <t>05:09:35</t>
  </si>
  <si>
    <t>OID2044</t>
  </si>
  <si>
    <t>22:16:48</t>
  </si>
  <si>
    <t>16:09:18</t>
  </si>
  <si>
    <t>OID6436</t>
  </si>
  <si>
    <t>13:00:52</t>
  </si>
  <si>
    <t>00:18:32</t>
  </si>
  <si>
    <t>OID9374</t>
  </si>
  <si>
    <t>15:33:07</t>
  </si>
  <si>
    <t>15:51:15</t>
  </si>
  <si>
    <t>OID2767</t>
  </si>
  <si>
    <t>16:58:37</t>
  </si>
  <si>
    <t>01:05:53</t>
  </si>
  <si>
    <t>OID8981</t>
  </si>
  <si>
    <t>15:06:44</t>
  </si>
  <si>
    <t>14:31:29</t>
  </si>
  <si>
    <t>OID2246</t>
  </si>
  <si>
    <t>05:36:29</t>
  </si>
  <si>
    <t>07:21:52</t>
  </si>
  <si>
    <t>OID1779</t>
  </si>
  <si>
    <t>12:50:57</t>
  </si>
  <si>
    <t>01:24:34</t>
  </si>
  <si>
    <t>OID2005</t>
  </si>
  <si>
    <t>12:10:00</t>
  </si>
  <si>
    <t>09:31:36</t>
  </si>
  <si>
    <t>OID6485</t>
  </si>
  <si>
    <t>13:21:50</t>
  </si>
  <si>
    <t>18:29:46</t>
  </si>
  <si>
    <t>OID6319</t>
  </si>
  <si>
    <t>09:32:58</t>
  </si>
  <si>
    <t>OID9461</t>
  </si>
  <si>
    <t>14:34:14</t>
  </si>
  <si>
    <t>17:45:57</t>
  </si>
  <si>
    <t>OID4522</t>
  </si>
  <si>
    <t>00:44:05</t>
  </si>
  <si>
    <t>19:29:03</t>
  </si>
  <si>
    <t>OID9862</t>
  </si>
  <si>
    <t>05:02:45</t>
  </si>
  <si>
    <t>14:00:57</t>
  </si>
  <si>
    <t>OID6361</t>
  </si>
  <si>
    <t>16:28:38</t>
  </si>
  <si>
    <t>01:06:14</t>
  </si>
  <si>
    <t>OID7238</t>
  </si>
  <si>
    <t>08:22:36</t>
  </si>
  <si>
    <t>07:46:17</t>
  </si>
  <si>
    <t>OID8446</t>
  </si>
  <si>
    <t>02:53:11</t>
  </si>
  <si>
    <t>03:53:13</t>
  </si>
  <si>
    <t>OID9459</t>
  </si>
  <si>
    <t>08:17:07</t>
  </si>
  <si>
    <t>07:01:18</t>
  </si>
  <si>
    <t>OID6433</t>
  </si>
  <si>
    <t>01:02:33</t>
  </si>
  <si>
    <t>03:31:58</t>
  </si>
  <si>
    <t>OID3128</t>
  </si>
  <si>
    <t>22:17:42</t>
  </si>
  <si>
    <t>09:42:50</t>
  </si>
  <si>
    <t>OID8972</t>
  </si>
  <si>
    <t>07:36:32</t>
  </si>
  <si>
    <t>09:34:23</t>
  </si>
  <si>
    <t>OID5970</t>
  </si>
  <si>
    <t>07:39:59</t>
  </si>
  <si>
    <t>04:52:06</t>
  </si>
  <si>
    <t>OID3491</t>
  </si>
  <si>
    <t>18:04:56</t>
  </si>
  <si>
    <t>06:42:40</t>
  </si>
  <si>
    <t>OID6651</t>
  </si>
  <si>
    <t>03:18:41</t>
  </si>
  <si>
    <t>01:31:23</t>
  </si>
  <si>
    <t>OID2861</t>
  </si>
  <si>
    <t>20:38:05</t>
  </si>
  <si>
    <t>02:58:16</t>
  </si>
  <si>
    <t>OID3302</t>
  </si>
  <si>
    <t>08:32:59</t>
  </si>
  <si>
    <t>03:32:40</t>
  </si>
  <si>
    <t>OID9922</t>
  </si>
  <si>
    <t>12:42:28</t>
  </si>
  <si>
    <t>16:13:49</t>
  </si>
  <si>
    <t>OID4613</t>
  </si>
  <si>
    <t>10:24:01</t>
  </si>
  <si>
    <t>06:25:35</t>
  </si>
  <si>
    <t>OID7483</t>
  </si>
  <si>
    <t>12:19:38</t>
  </si>
  <si>
    <t>00:24:54</t>
  </si>
  <si>
    <t>OID7418</t>
  </si>
  <si>
    <t>01:15:18</t>
  </si>
  <si>
    <t>16:11:48</t>
  </si>
  <si>
    <t>OID3361</t>
  </si>
  <si>
    <t>09:50:05</t>
  </si>
  <si>
    <t>23:38:57</t>
  </si>
  <si>
    <t>OID7475</t>
  </si>
  <si>
    <t>08:30:03</t>
  </si>
  <si>
    <t>17:07:47</t>
  </si>
  <si>
    <t>OID6847</t>
  </si>
  <si>
    <t>17:02:09</t>
  </si>
  <si>
    <t>05:55:32</t>
  </si>
  <si>
    <t>CUSTOMER KPIs</t>
  </si>
  <si>
    <t>PRODUCT KPIs</t>
  </si>
  <si>
    <t>SALES KPIs</t>
  </si>
  <si>
    <t>a) Total Unique Customers</t>
  </si>
  <si>
    <t>a) Total Unique Products</t>
  </si>
  <si>
    <t>a) Sum Total Sales Generated</t>
  </si>
  <si>
    <t>b) Most Ordered Product (by Qty)</t>
  </si>
  <si>
    <t>b) Sum Total Discount Offered</t>
  </si>
  <si>
    <t>c) Product - Highest Revenue</t>
  </si>
  <si>
    <t>c) Total Sales After Discount</t>
  </si>
  <si>
    <t>d) Average Customer Age</t>
  </si>
  <si>
    <t>d) Avg Sales (excl. discount)</t>
  </si>
  <si>
    <t>a) Total Orders Placed</t>
  </si>
  <si>
    <t>b) Average Days to Deliver</t>
  </si>
  <si>
    <t>c) Total Orders with 0 Delivery Charge (DEL0)</t>
  </si>
  <si>
    <t>VISUAL ANALYSIS - CHARTS</t>
  </si>
  <si>
    <t>1) Compute the following KPIs</t>
  </si>
  <si>
    <t>Customer KPIs</t>
  </si>
  <si>
    <t>Order and Delivery KPIs</t>
  </si>
  <si>
    <t>a) Find total unique customers</t>
  </si>
  <si>
    <t>a) Total Orders placed</t>
  </si>
  <si>
    <t>c) Total orders with 0 Delivery Charge</t>
  </si>
  <si>
    <t>Product KPIs</t>
  </si>
  <si>
    <t>a) Find total unique products</t>
  </si>
  <si>
    <t>b) Most ordered product</t>
  </si>
  <si>
    <t>c) Product which generated highest revenue</t>
  </si>
  <si>
    <t>a) Sum Total Sales generated</t>
  </si>
  <si>
    <t>b) Sum Total Discount offered</t>
  </si>
  <si>
    <t>c) Total Sales after Discount</t>
  </si>
  <si>
    <t>d) Avg Sales(exclduing discount)</t>
  </si>
  <si>
    <t>Q2) Create a new column, Days to deliver and fill it with number of days it took for delivery</t>
  </si>
  <si>
    <t>Q3) Create a new Amount by using Price and Quantity</t>
  </si>
  <si>
    <t>Q4) Create a new column for Amount_with_Del_Chrg considering Delivery Charge as well</t>
  </si>
  <si>
    <t>Q5) Create a new column Discount_Percent and use Coupon_Code to generate it</t>
  </si>
  <si>
    <t>Q6) Compute final amount by using Amount_with_Del_Chrg and Discount_Percent</t>
  </si>
  <si>
    <t>Q7) Create new columns - Full_Name by concatenating First_Name and Last_Name.</t>
  </si>
  <si>
    <t>Q8) Create a new column - IsLateDelivery, and populate it with values - Late, Intime, BeforeTime based on actual difference between order_Date and Delivery_Date</t>
  </si>
  <si>
    <t>Visual Analysis - Charts to be generated</t>
  </si>
  <si>
    <t>1) Represent top 10 customers with highest Total Sales after Discount on a bar chart</t>
  </si>
  <si>
    <t>2) Represent the count of different products ordered and its percentage on a donut chart</t>
  </si>
  <si>
    <t>3) Represent city wise total orders on a Funnel Chart</t>
  </si>
  <si>
    <t>4) Represent  city wise total sales amount after discount</t>
  </si>
  <si>
    <t>5) Represent top 5 and bottom 5 products with highest and lowest sales respectively</t>
  </si>
  <si>
    <t>6) Represent Count of all Disocunt Coupon used on a Pie Chart</t>
  </si>
  <si>
    <t>7) Represent Month and Gender wise total Sales in a pivot table and also in a clustered bar chart</t>
  </si>
  <si>
    <t>8) Find Count of Late, Intime and BeforeTime Deliveries on a Pie chart</t>
  </si>
  <si>
    <t>9) Represent Year and month wise total sales and total discount on a line chart</t>
  </si>
  <si>
    <t>10) Extract email from domain and represent its count on a bar chart</t>
  </si>
  <si>
    <t>Pivot Table: Month &amp; Gender-wise Total Sales After Discount</t>
  </si>
  <si>
    <t>Month</t>
  </si>
  <si>
    <t>Grand Total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</si>
  <si>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</si>
  <si>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</si>
  <si>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</si>
  <si>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</si>
  <si>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</si>
  <si>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</si>
  <si>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</si>
  <si>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</si>
  <si>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</si>
  <si>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</si>
  <si>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</si>
  <si>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</si>
  <si>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</si>
  <si>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</si>
  <si>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</si>
  <si>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</si>
  <si>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</si>
  <si>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</si>
  <si>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</si>
  <si>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</si>
  <si>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</si>
  <si>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</si>
  <si>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</si>
  <si>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</si>
  <si>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</si>
  <si>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 xml:space="preserve">  chart 1: Top 10 Customers by Sales ===</t>
  </si>
  <si>
    <t>Customer</t>
  </si>
  <si>
    <t>Total Sales After Discount</t>
  </si>
  <si>
    <t>Jodi Whitney (CID174)</t>
  </si>
  <si>
    <t>Lauren Crane (CID114)</t>
  </si>
  <si>
    <t>Mark Summers (CID162)</t>
  </si>
  <si>
    <t>Mary Knight (CID165)</t>
  </si>
  <si>
    <t>Jessica Ruiz (CID102)</t>
  </si>
  <si>
    <t>Angela Evans (CID158)</t>
  </si>
  <si>
    <t>Lauren Long (CID191)</t>
  </si>
  <si>
    <t>Katherine Weber (CID175)</t>
  </si>
  <si>
    <t>John Herrera (CID182)</t>
  </si>
  <si>
    <t>Brendan Kelly (CID113)</t>
  </si>
  <si>
    <t xml:space="preserve">  chart 2: Product Order Count ===</t>
  </si>
  <si>
    <t>Product</t>
  </si>
  <si>
    <t>Order Count</t>
  </si>
  <si>
    <t xml:space="preserve">  chart 3: City-wise Orders (Funnel) ===</t>
  </si>
  <si>
    <t>Total Orders</t>
  </si>
  <si>
    <t xml:space="preserve">  chart 4: City-wise Sales ===</t>
  </si>
  <si>
    <t xml:space="preserve">  chart 5: Top5 &amp; Bottom5 Products ===</t>
  </si>
  <si>
    <t>Total Sales</t>
  </si>
  <si>
    <t xml:space="preserve">  chart 6: Coupon Usage ===</t>
  </si>
  <si>
    <t>Coupon Code</t>
  </si>
  <si>
    <t>Count</t>
  </si>
  <si>
    <t xml:space="preserve">  chart 7: Month-Gender Sales ===</t>
  </si>
  <si>
    <t xml:space="preserve">  chart 8: Delivery Status ===</t>
  </si>
  <si>
    <t>Status</t>
  </si>
  <si>
    <t>BeforeTime</t>
  </si>
  <si>
    <t>Late</t>
  </si>
  <si>
    <t>Intime</t>
  </si>
  <si>
    <t xml:space="preserve">  chart 9: Monthly Sales &amp; Discount Line ===</t>
  </si>
  <si>
    <t>Year-Month</t>
  </si>
  <si>
    <t>Total Discount</t>
  </si>
  <si>
    <t xml:space="preserve">  chart 10: Email Domain Count ===</t>
  </si>
  <si>
    <t>Domain</t>
  </si>
  <si>
    <t>yahoo.com</t>
  </si>
  <si>
    <t>outlook.com</t>
  </si>
  <si>
    <t>rediffmail.com</t>
  </si>
  <si>
    <t>gmail.com</t>
  </si>
  <si>
    <t>b) Customer id with most orders</t>
  </si>
  <si>
    <t>c) Customer full name with highest total order amount</t>
  </si>
  <si>
    <t>b)  Customer id with most orders</t>
  </si>
  <si>
    <t xml:space="preserve"> </t>
  </si>
  <si>
    <t>E-COMMERCE KPIs DASHBOARD</t>
  </si>
  <si>
    <t>Sales KPIs</t>
  </si>
  <si>
    <t>where FLAT8, FLAT10, FLAT15, FLAT20 represent 8,10,15 and 20% discount on Amount, and DEL0 represents 0% delivery Charge_applied</t>
  </si>
  <si>
    <t>Amount_with_Del_Charge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</si>
</sst>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0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6"/>
      <color rgb="FFFFFFFF"/>
      <name val="Arial"/>
      <charset val="1"/>
    </font>
    <font>
      <i/>
      <sz val="10"/>
      <color rgb="FF555555"/>
      <name val="Arial"/>
      <charset val="1"/>
    </font>
    <font>
      <b/>
      <sz val="12"/>
      <color rgb="FFFFFFFF"/>
      <name val="Arial"/>
      <charset val="1"/>
    </font>
    <font>
      <b/>
      <sz val="10"/>
      <color rgb="FF1F4E79"/>
      <name val="Arial"/>
      <charset val="1"/>
    </font>
    <font>
      <b/>
      <sz val="11"/>
      <color rgb="FF1A1A1A"/>
      <name val="Arial"/>
      <charset val="1"/>
    </font>
    <font>
      <b/>
      <sz val="14"/>
      <color rgb="FFFFFFFF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1F4E79"/>
      <name val="Cambria"/>
      <charset val="1"/>
    </font>
    <font>
      <b/>
      <sz val="11"/>
      <name val="Cambria"/>
      <charset val="1"/>
    </font>
    <font>
      <b/>
      <sz val="11"/>
      <color theme="1"/>
      <name val="Arial"/>
      <family val="2"/>
    </font>
    <font>
      <b/>
      <sz val="10"/>
      <color rgb="FF1F4E79"/>
      <name val="Arial"/>
      <family val="2"/>
    </font>
    <font>
      <b/>
      <sz val="16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89013336588644"/>
        <bgColor rgb="FFF9F9F9"/>
      </patternFill>
    </fill>
    <fill>
      <patternFill patternType="solid">
        <fgColor rgb="FF1F4E79"/>
        <bgColor rgb="FF39608D"/>
      </patternFill>
    </fill>
    <fill>
      <patternFill patternType="solid">
        <fgColor rgb="FFEBF3FA"/>
        <bgColor rgb="FFF0F7FF"/>
      </patternFill>
    </fill>
    <fill>
      <patternFill patternType="solid">
        <fgColor rgb="FFFFFFFF"/>
        <bgColor rgb="FFF9F9F9"/>
      </patternFill>
    </fill>
    <fill>
      <patternFill patternType="solid">
        <fgColor rgb="FF0D2B45"/>
        <bgColor rgb="FF1A1A1A"/>
      </patternFill>
    </fill>
    <fill>
      <patternFill patternType="solid">
        <fgColor rgb="FFD6E4F0"/>
        <bgColor rgb="FFD9D9D9"/>
      </patternFill>
    </fill>
    <fill>
      <patternFill patternType="solid">
        <fgColor rgb="FFF0F7FF"/>
        <bgColor rgb="FFEBF3FA"/>
      </patternFill>
    </fill>
    <fill>
      <patternFill patternType="solid">
        <fgColor theme="4" tint="0.59987182226020086"/>
        <bgColor rgb="FFB5D4E0"/>
      </patternFill>
    </fill>
    <fill>
      <patternFill patternType="solid">
        <fgColor theme="9" tint="0.59987182226020086"/>
        <bgColor rgb="FFFACAB4"/>
      </patternFill>
    </fill>
    <fill>
      <patternFill patternType="solid">
        <fgColor rgb="FF2E75B6"/>
        <bgColor rgb="FF4774A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0" fillId="3" borderId="0" xfId="0" applyFont="1" applyFill="1" applyAlignment="1">
      <alignment horizontal="center" vertical="center"/>
    </xf>
    <xf numFmtId="0" fontId="0" fillId="9" borderId="0" xfId="0" applyFill="1" applyAlignment="1">
      <alignment horizontal="left" wrapText="1"/>
    </xf>
    <xf numFmtId="0" fontId="0" fillId="9" borderId="0" xfId="0" applyFill="1"/>
    <xf numFmtId="0" fontId="1" fillId="10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9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left" vertical="center" wrapText="1"/>
    </xf>
    <xf numFmtId="3" fontId="8" fillId="8" borderId="0" xfId="0" applyNumberFormat="1" applyFont="1" applyFill="1" applyAlignment="1">
      <alignment horizontal="center" vertical="center"/>
    </xf>
    <xf numFmtId="4" fontId="8" fillId="8" borderId="0" xfId="0" applyNumberFormat="1" applyFont="1" applyFill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1" fillId="0" borderId="0" xfId="0" applyFont="1"/>
    <xf numFmtId="0" fontId="11" fillId="11" borderId="0" xfId="0" applyFont="1" applyFill="1" applyAlignment="1">
      <alignment horizontal="center" vertical="center"/>
    </xf>
    <xf numFmtId="4" fontId="3" fillId="4" borderId="0" xfId="0" applyNumberFormat="1" applyFont="1" applyFill="1" applyAlignment="1">
      <alignment horizontal="center"/>
    </xf>
    <xf numFmtId="4" fontId="3" fillId="5" borderId="0" xfId="0" applyNumberFormat="1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4" fontId="12" fillId="7" borderId="0" xfId="0" applyNumberFormat="1" applyFont="1" applyFill="1" applyAlignment="1">
      <alignment horizontal="center"/>
    </xf>
    <xf numFmtId="0" fontId="13" fillId="0" borderId="0" xfId="0" applyFont="1"/>
    <xf numFmtId="0" fontId="14" fillId="0" borderId="0" xfId="0" applyFont="1"/>
    <xf numFmtId="2" fontId="15" fillId="0" borderId="0" xfId="0" applyNumberFormat="1" applyFont="1" applyAlignment="1">
      <alignment horizontal="center" vertical="center"/>
    </xf>
    <xf numFmtId="0" fontId="16" fillId="7" borderId="0" xfId="0" applyFont="1" applyFill="1" applyAlignment="1">
      <alignment horizontal="left" vertical="center" wrapText="1"/>
    </xf>
    <xf numFmtId="0" fontId="17" fillId="6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/>
    </xf>
    <xf numFmtId="2" fontId="3" fillId="5" borderId="0" xfId="0" applyNumberFormat="1" applyFont="1" applyFill="1" applyAlignment="1">
      <alignment horizontal="center"/>
    </xf>
    <xf numFmtId="2" fontId="0" fillId="0" borderId="0" xfId="0" applyNumberFormat="1"/>
    <xf numFmtId="10" fontId="3" fillId="4" borderId="0" xfId="0" applyNumberFormat="1" applyFont="1" applyFill="1" applyAlignment="1">
      <alignment horizontal="center"/>
    </xf>
    <xf numFmtId="2" fontId="19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27637"/>
      <rgbColor rgb="FF91AF53"/>
      <rgbColor rgb="FFB9CDE5"/>
      <rgbColor rgb="FFFCD5B5"/>
      <rgbColor rgb="FFCA7E7D"/>
      <rgbColor rgb="FF8DB5D1"/>
      <rgbColor rgb="FFAC6830"/>
      <rgbColor rgb="FF86A24D"/>
      <rgbColor rgb="FFBED0A0"/>
      <rgbColor rgb="FF738B41"/>
      <rgbColor rgb="FFC04F4C"/>
      <rgbColor rgb="FF4774AA"/>
      <rgbColor rgb="FFC2BACF"/>
      <rgbColor rgb="FF878787"/>
      <rgbColor rgb="FFB0A4C2"/>
      <rgbColor rgb="FF8F3A37"/>
      <rgbColor rgb="FFF9F9F9"/>
      <rgbColor rgb="FFEBF3FA"/>
      <rgbColor rgb="FF5F4A78"/>
      <rgbColor rgb="FFE78C41"/>
      <rgbColor rgb="FF39608D"/>
      <rgbColor rgb="FFCAD3E5"/>
      <rgbColor rgb="FFD9D9D9"/>
      <rgbColor rgb="FFF9BB9A"/>
      <rgbColor rgb="FFCCDAB7"/>
      <rgbColor rgb="FFB5D4E0"/>
      <rgbColor rgb="FF8064A2"/>
      <rgbColor rgb="FFB5C3DB"/>
      <rgbColor rgb="FF449BB2"/>
      <rgbColor rgb="FFE6CACA"/>
      <rgbColor rgb="FF4F81BD"/>
      <rgbColor rgb="FFF0F7FF"/>
      <rgbColor rgb="FFD6E4F0"/>
      <rgbColor rgb="FFFDEADA"/>
      <rgbColor rgb="FF9CC7D7"/>
      <rgbColor rgb="FFD49D9C"/>
      <rgbColor rgb="FFDDB5B5"/>
      <rgbColor rgb="FFFACAB4"/>
      <rgbColor rgb="FF2E75B6"/>
      <rgbColor rgb="FF4BACC6"/>
      <rgbColor rgb="FF9BBB59"/>
      <rgbColor rgb="FFF8AA7A"/>
      <rgbColor rgb="FFF79646"/>
      <rgbColor rgb="FFD6823C"/>
      <rgbColor rgb="FF735A92"/>
      <rgbColor rgb="FF8C92C0"/>
      <rgbColor rgb="FF0D2B45"/>
      <rgbColor rgb="FF368093"/>
      <rgbColor rgb="FFADC683"/>
      <rgbColor rgb="FF555555"/>
      <rgbColor rgb="FFB34A48"/>
      <rgbColor rgb="FFA64542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Customers - Total Sales After Discount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Chart_Data!$B$2</c:f>
              <c:strCache>
                <c:ptCount val="1"/>
                <c:pt idx="0">
                  <c:v>Total Sales After Discount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Chart_Data!$A$3:$A$12</c:f>
              <c:strCache>
                <c:ptCount val="10"/>
                <c:pt idx="0">
                  <c:v>Jodi Whitney (CID174)</c:v>
                </c:pt>
                <c:pt idx="1">
                  <c:v>Lauren Crane (CID114)</c:v>
                </c:pt>
                <c:pt idx="2">
                  <c:v>Mark Summers (CID162)</c:v>
                </c:pt>
                <c:pt idx="3">
                  <c:v>Mary Knight (CID165)</c:v>
                </c:pt>
                <c:pt idx="4">
                  <c:v>Jessica Ruiz (CID102)</c:v>
                </c:pt>
                <c:pt idx="5">
                  <c:v>Angela Evans (CID158)</c:v>
                </c:pt>
                <c:pt idx="6">
                  <c:v>Lauren Long (CID191)</c:v>
                </c:pt>
                <c:pt idx="7">
                  <c:v>Katherine Weber (CID175)</c:v>
                </c:pt>
                <c:pt idx="8">
                  <c:v>John Herrera (CID182)</c:v>
                </c:pt>
                <c:pt idx="9">
                  <c:v>Brendan Kelly (CID113)</c:v>
                </c:pt>
              </c:strCache>
            </c:strRef>
          </c:cat>
          <c:val>
            <c:numRef>
              <c:f>Chart_Data!$B$3:$B$12</c:f>
              <c:numCache>
                <c:formatCode>General</c:formatCode>
                <c:ptCount val="10"/>
                <c:pt idx="0">
                  <c:v>13121.12</c:v>
                </c:pt>
                <c:pt idx="1">
                  <c:v>8428.1</c:v>
                </c:pt>
                <c:pt idx="2">
                  <c:v>7999.85</c:v>
                </c:pt>
                <c:pt idx="3">
                  <c:v>7509.2</c:v>
                </c:pt>
                <c:pt idx="4">
                  <c:v>6873.93</c:v>
                </c:pt>
                <c:pt idx="5">
                  <c:v>6840.93</c:v>
                </c:pt>
                <c:pt idx="6">
                  <c:v>6810.7</c:v>
                </c:pt>
                <c:pt idx="7">
                  <c:v>6641.83</c:v>
                </c:pt>
                <c:pt idx="8">
                  <c:v>6640.58</c:v>
                </c:pt>
                <c:pt idx="9">
                  <c:v>6587.07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5-477F-84A4-FFC5E95A1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300252"/>
        <c:axId val="2501669"/>
      </c:barChart>
      <c:catAx>
        <c:axId val="453002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Customer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1669"/>
        <c:crosses val="autoZero"/>
        <c:auto val="1"/>
        <c:lblAlgn val="ctr"/>
        <c:lblOffset val="100"/>
        <c:noMultiLvlLbl val="0"/>
      </c:catAx>
      <c:valAx>
        <c:axId val="25016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3002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Product Order Count &amp; % (Donut)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375A8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E1E3-4A8F-8197-7373FE950A20}"/>
              </c:ext>
            </c:extLst>
          </c:dPt>
          <c:dPt>
            <c:idx val="1"/>
            <c:bubble3D val="0"/>
            <c:spPr>
              <a:solidFill>
                <a:srgbClr val="86373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E1E3-4A8F-8197-7373FE950A20}"/>
              </c:ext>
            </c:extLst>
          </c:dPt>
          <c:dPt>
            <c:idx val="2"/>
            <c:bubble3D val="0"/>
            <c:spPr>
              <a:solidFill>
                <a:srgbClr val="6C82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E1E3-4A8F-8197-7373FE950A20}"/>
              </c:ext>
            </c:extLst>
          </c:dPt>
          <c:dPt>
            <c:idx val="3"/>
            <c:bubble3D val="0"/>
            <c:spPr>
              <a:solidFill>
                <a:srgbClr val="59457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E1E3-4A8F-8197-7373FE950A20}"/>
              </c:ext>
            </c:extLst>
          </c:dPt>
          <c:dPt>
            <c:idx val="4"/>
            <c:bubble3D val="0"/>
            <c:spPr>
              <a:solidFill>
                <a:srgbClr val="34788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E1E3-4A8F-8197-7373FE950A20}"/>
              </c:ext>
            </c:extLst>
          </c:dPt>
          <c:dPt>
            <c:idx val="5"/>
            <c:bubble3D val="0"/>
            <c:spPr>
              <a:solidFill>
                <a:srgbClr val="AC683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E1E3-4A8F-8197-7373FE950A20}"/>
              </c:ext>
            </c:extLst>
          </c:dPt>
          <c:dPt>
            <c:idx val="6"/>
            <c:bubble3D val="0"/>
            <c:spPr>
              <a:solidFill>
                <a:srgbClr val="3E659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E1E3-4A8F-8197-7373FE950A20}"/>
              </c:ext>
            </c:extLst>
          </c:dPt>
          <c:dPt>
            <c:idx val="7"/>
            <c:bubble3D val="0"/>
            <c:spPr>
              <a:solidFill>
                <a:srgbClr val="973F3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E1E3-4A8F-8197-7373FE950A20}"/>
              </c:ext>
            </c:extLst>
          </c:dPt>
          <c:dPt>
            <c:idx val="8"/>
            <c:bubble3D val="0"/>
            <c:spPr>
              <a:solidFill>
                <a:srgbClr val="7A934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E1E3-4A8F-8197-7373FE950A20}"/>
              </c:ext>
            </c:extLst>
          </c:dPt>
          <c:dPt>
            <c:idx val="9"/>
            <c:bubble3D val="0"/>
            <c:spPr>
              <a:solidFill>
                <a:srgbClr val="654E7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E1E3-4A8F-8197-7373FE950A20}"/>
              </c:ext>
            </c:extLst>
          </c:dPt>
          <c:dPt>
            <c:idx val="10"/>
            <c:bubble3D val="0"/>
            <c:spPr>
              <a:solidFill>
                <a:srgbClr val="3B879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5-E1E3-4A8F-8197-7373FE950A20}"/>
              </c:ext>
            </c:extLst>
          </c:dPt>
          <c:dPt>
            <c:idx val="11"/>
            <c:bubble3D val="0"/>
            <c:spPr>
              <a:solidFill>
                <a:srgbClr val="C2763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7-E1E3-4A8F-8197-7373FE950A20}"/>
              </c:ext>
            </c:extLst>
          </c:dPt>
          <c:dPt>
            <c:idx val="12"/>
            <c:bubble3D val="0"/>
            <c:spPr>
              <a:solidFill>
                <a:srgbClr val="446FA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9-E1E3-4A8F-8197-7373FE950A20}"/>
              </c:ext>
            </c:extLst>
          </c:dPt>
          <c:dPt>
            <c:idx val="13"/>
            <c:bubble3D val="0"/>
            <c:spPr>
              <a:solidFill>
                <a:srgbClr val="A6454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B-E1E3-4A8F-8197-7373FE950A20}"/>
              </c:ext>
            </c:extLst>
          </c:dPt>
          <c:dPt>
            <c:idx val="14"/>
            <c:bubble3D val="0"/>
            <c:spPr>
              <a:solidFill>
                <a:srgbClr val="86A2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D-E1E3-4A8F-8197-7373FE950A20}"/>
              </c:ext>
            </c:extLst>
          </c:dPt>
          <c:dPt>
            <c:idx val="15"/>
            <c:bubble3D val="0"/>
            <c:spPr>
              <a:solidFill>
                <a:srgbClr val="6E568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F-E1E3-4A8F-8197-7373FE950A20}"/>
              </c:ext>
            </c:extLst>
          </c:dPt>
          <c:dPt>
            <c:idx val="16"/>
            <c:bubble3D val="0"/>
            <c:spPr>
              <a:solidFill>
                <a:srgbClr val="4195A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1-E1E3-4A8F-8197-7373FE950A20}"/>
              </c:ext>
            </c:extLst>
          </c:dPt>
          <c:dPt>
            <c:idx val="17"/>
            <c:bubble3D val="0"/>
            <c:spPr>
              <a:solidFill>
                <a:srgbClr val="D6823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3-E1E3-4A8F-8197-7373FE950A20}"/>
              </c:ext>
            </c:extLst>
          </c:dPt>
          <c:dPt>
            <c:idx val="18"/>
            <c:bubble3D val="0"/>
            <c:spPr>
              <a:solidFill>
                <a:srgbClr val="4978B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5-E1E3-4A8F-8197-7373FE950A20}"/>
              </c:ext>
            </c:extLst>
          </c:dPt>
          <c:dPt>
            <c:idx val="19"/>
            <c:bubble3D val="0"/>
            <c:spPr>
              <a:solidFill>
                <a:srgbClr val="B34A4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7-E1E3-4A8F-8197-7373FE950A20}"/>
              </c:ext>
            </c:extLst>
          </c:dPt>
          <c:dPt>
            <c:idx val="20"/>
            <c:bubble3D val="0"/>
            <c:spPr>
              <a:solidFill>
                <a:srgbClr val="91AF5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9-E1E3-4A8F-8197-7373FE950A20}"/>
              </c:ext>
            </c:extLst>
          </c:dPt>
          <c:dPt>
            <c:idx val="21"/>
            <c:bubble3D val="0"/>
            <c:spPr>
              <a:solidFill>
                <a:srgbClr val="775D9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B-E1E3-4A8F-8197-7373FE950A20}"/>
              </c:ext>
            </c:extLst>
          </c:dPt>
          <c:dPt>
            <c:idx val="22"/>
            <c:bubble3D val="0"/>
            <c:spPr>
              <a:solidFill>
                <a:srgbClr val="46A1B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D-E1E3-4A8F-8197-7373FE950A20}"/>
              </c:ext>
            </c:extLst>
          </c:dPt>
          <c:dPt>
            <c:idx val="23"/>
            <c:bubble3D val="0"/>
            <c:spPr>
              <a:solidFill>
                <a:srgbClr val="E78C4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F-E1E3-4A8F-8197-7373FE950A20}"/>
              </c:ext>
            </c:extLst>
          </c:dPt>
          <c:dPt>
            <c:idx val="24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1-E1E3-4A8F-8197-7373FE950A20}"/>
              </c:ext>
            </c:extLst>
          </c:dPt>
          <c:dPt>
            <c:idx val="25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3-E1E3-4A8F-8197-7373FE950A20}"/>
              </c:ext>
            </c:extLst>
          </c:dPt>
          <c:dPt>
            <c:idx val="26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5-E1E3-4A8F-8197-7373FE950A20}"/>
              </c:ext>
            </c:extLst>
          </c:dPt>
          <c:dPt>
            <c:idx val="27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7-E1E3-4A8F-8197-7373FE950A20}"/>
              </c:ext>
            </c:extLst>
          </c:dPt>
          <c:dPt>
            <c:idx val="28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9-E1E3-4A8F-8197-7373FE950A20}"/>
              </c:ext>
            </c:extLst>
          </c:dPt>
          <c:dPt>
            <c:idx val="29"/>
            <c:bubble3D val="0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B-E1E3-4A8F-8197-7373FE950A20}"/>
              </c:ext>
            </c:extLst>
          </c:dPt>
          <c:dPt>
            <c:idx val="30"/>
            <c:bubble3D val="0"/>
            <c:spPr>
              <a:solidFill>
                <a:srgbClr val="7E9BC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D-E1E3-4A8F-8197-7373FE950A20}"/>
              </c:ext>
            </c:extLst>
          </c:dPt>
          <c:dPt>
            <c:idx val="31"/>
            <c:bubble3D val="0"/>
            <c:spPr>
              <a:solidFill>
                <a:srgbClr val="CA7E7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F-E1E3-4A8F-8197-7373FE950A20}"/>
              </c:ext>
            </c:extLst>
          </c:dPt>
          <c:dPt>
            <c:idx val="32"/>
            <c:bubble3D val="0"/>
            <c:spPr>
              <a:solidFill>
                <a:srgbClr val="ADC68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1-E1E3-4A8F-8197-7373FE950A20}"/>
              </c:ext>
            </c:extLst>
          </c:dPt>
          <c:dPt>
            <c:idx val="33"/>
            <c:bubble3D val="0"/>
            <c:spPr>
              <a:solidFill>
                <a:srgbClr val="9A89B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3-E1E3-4A8F-8197-7373FE950A20}"/>
              </c:ext>
            </c:extLst>
          </c:dPt>
          <c:dPt>
            <c:idx val="34"/>
            <c:bubble3D val="0"/>
            <c:spPr>
              <a:solidFill>
                <a:srgbClr val="7CBAC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5-E1E3-4A8F-8197-7373FE950A20}"/>
              </c:ext>
            </c:extLst>
          </c:dPt>
          <c:dPt>
            <c:idx val="35"/>
            <c:bubble3D val="0"/>
            <c:spPr>
              <a:solidFill>
                <a:srgbClr val="F8AA7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7-E1E3-4A8F-8197-7373FE950A20}"/>
              </c:ext>
            </c:extLst>
          </c:dPt>
          <c:dPt>
            <c:idx val="36"/>
            <c:bubble3D val="0"/>
            <c:spPr>
              <a:solidFill>
                <a:srgbClr val="9DB0D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9-E1E3-4A8F-8197-7373FE950A20}"/>
              </c:ext>
            </c:extLst>
          </c:dPt>
          <c:dPt>
            <c:idx val="37"/>
            <c:bubble3D val="0"/>
            <c:spPr>
              <a:solidFill>
                <a:srgbClr val="D49D9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B-E1E3-4A8F-8197-7373FE950A20}"/>
              </c:ext>
            </c:extLst>
          </c:dPt>
          <c:dPt>
            <c:idx val="38"/>
            <c:bubble3D val="0"/>
            <c:spPr>
              <a:solidFill>
                <a:srgbClr val="BED0A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D-E1E3-4A8F-8197-7373FE950A20}"/>
              </c:ext>
            </c:extLst>
          </c:dPt>
          <c:dPt>
            <c:idx val="39"/>
            <c:bubble3D val="0"/>
            <c:spPr>
              <a:solidFill>
                <a:srgbClr val="B0A4C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F-E1E3-4A8F-8197-7373FE950A20}"/>
              </c:ext>
            </c:extLst>
          </c:dPt>
          <c:dPt>
            <c:idx val="40"/>
            <c:bubble3D val="0"/>
            <c:spPr>
              <a:solidFill>
                <a:srgbClr val="9CC7D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1-E1E3-4A8F-8197-7373FE950A20}"/>
              </c:ext>
            </c:extLst>
          </c:dPt>
          <c:dPt>
            <c:idx val="41"/>
            <c:bubble3D val="0"/>
            <c:spPr>
              <a:solidFill>
                <a:srgbClr val="F9BB9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3-E1E3-4A8F-8197-7373FE950A20}"/>
              </c:ext>
            </c:extLst>
          </c:dPt>
          <c:dPt>
            <c:idx val="42"/>
            <c:bubble3D val="0"/>
            <c:spPr>
              <a:solidFill>
                <a:srgbClr val="B5C3D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5-E1E3-4A8F-8197-7373FE950A20}"/>
              </c:ext>
            </c:extLst>
          </c:dPt>
          <c:dPt>
            <c:idx val="43"/>
            <c:bubble3D val="0"/>
            <c:spPr>
              <a:solidFill>
                <a:srgbClr val="DDB5B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7-E1E3-4A8F-8197-7373FE950A20}"/>
              </c:ext>
            </c:extLst>
          </c:dPt>
          <c:dPt>
            <c:idx val="44"/>
            <c:bubble3D val="0"/>
            <c:spPr>
              <a:solidFill>
                <a:srgbClr val="CCDAB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9-E1E3-4A8F-8197-7373FE950A20}"/>
              </c:ext>
            </c:extLst>
          </c:dPt>
          <c:dPt>
            <c:idx val="45"/>
            <c:bubble3D val="0"/>
            <c:spPr>
              <a:solidFill>
                <a:srgbClr val="C2BAC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B-E1E3-4A8F-8197-7373FE950A20}"/>
              </c:ext>
            </c:extLst>
          </c:dPt>
          <c:dPt>
            <c:idx val="46"/>
            <c:bubble3D val="0"/>
            <c:spPr>
              <a:solidFill>
                <a:srgbClr val="B5D4E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D-E1E3-4A8F-8197-7373FE950A20}"/>
              </c:ext>
            </c:extLst>
          </c:dPt>
          <c:dPt>
            <c:idx val="47"/>
            <c:bubble3D val="0"/>
            <c:spPr>
              <a:solidFill>
                <a:srgbClr val="FACAB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F-E1E3-4A8F-8197-7373FE950A20}"/>
              </c:ext>
            </c:extLst>
          </c:dPt>
          <c:dPt>
            <c:idx val="48"/>
            <c:bubble3D val="0"/>
            <c:spPr>
              <a:solidFill>
                <a:srgbClr val="CAD3E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1-E1E3-4A8F-8197-7373FE950A20}"/>
              </c:ext>
            </c:extLst>
          </c:dPt>
          <c:dPt>
            <c:idx val="49"/>
            <c:bubble3D val="0"/>
            <c:spPr>
              <a:solidFill>
                <a:srgbClr val="E6CAC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3-E1E3-4A8F-8197-7373FE950A2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1E3-4A8F-8197-7373FE950A2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1E3-4A8F-8197-7373FE950A2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1E3-4A8F-8197-7373FE950A2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E1E3-4A8F-8197-7373FE950A2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E1E3-4A8F-8197-7373FE950A20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E1E3-4A8F-8197-7373FE950A20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E1E3-4A8F-8197-7373FE950A20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E1E3-4A8F-8197-7373FE950A20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E1E3-4A8F-8197-7373FE950A20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E1E3-4A8F-8197-7373FE950A20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E1E3-4A8F-8197-7373FE950A20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E1E3-4A8F-8197-7373FE950A20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E1E3-4A8F-8197-7373FE950A20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E1E3-4A8F-8197-7373FE950A20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E1E3-4A8F-8197-7373FE950A20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E1E3-4A8F-8197-7373FE950A20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1-E1E3-4A8F-8197-7373FE950A20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3-E1E3-4A8F-8197-7373FE950A20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5-E1E3-4A8F-8197-7373FE950A20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7-E1E3-4A8F-8197-7373FE950A20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9-E1E3-4A8F-8197-7373FE950A20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B-E1E3-4A8F-8197-7373FE950A20}"/>
                </c:ext>
              </c:extLst>
            </c:dLbl>
            <c:dLbl>
              <c:idx val="2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D-E1E3-4A8F-8197-7373FE950A20}"/>
                </c:ext>
              </c:extLst>
            </c:dLbl>
            <c:dLbl>
              <c:idx val="2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F-E1E3-4A8F-8197-7373FE950A20}"/>
                </c:ext>
              </c:extLst>
            </c:dLbl>
            <c:dLbl>
              <c:idx val="2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31-E1E3-4A8F-8197-7373FE950A20}"/>
                </c:ext>
              </c:extLst>
            </c:dLbl>
            <c:dLbl>
              <c:idx val="2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33-E1E3-4A8F-8197-7373FE950A20}"/>
                </c:ext>
              </c:extLst>
            </c:dLbl>
            <c:dLbl>
              <c:idx val="2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35-E1E3-4A8F-8197-7373FE950A20}"/>
                </c:ext>
              </c:extLst>
            </c:dLbl>
            <c:dLbl>
              <c:idx val="2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37-E1E3-4A8F-8197-7373FE950A20}"/>
                </c:ext>
              </c:extLst>
            </c:dLbl>
            <c:dLbl>
              <c:idx val="2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39-E1E3-4A8F-8197-7373FE950A20}"/>
                </c:ext>
              </c:extLst>
            </c:dLbl>
            <c:dLbl>
              <c:idx val="2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3B-E1E3-4A8F-8197-7373FE950A20}"/>
                </c:ext>
              </c:extLst>
            </c:dLbl>
            <c:dLbl>
              <c:idx val="3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3D-E1E3-4A8F-8197-7373FE950A20}"/>
                </c:ext>
              </c:extLst>
            </c:dLbl>
            <c:dLbl>
              <c:idx val="3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3F-E1E3-4A8F-8197-7373FE950A20}"/>
                </c:ext>
              </c:extLst>
            </c:dLbl>
            <c:dLbl>
              <c:idx val="3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41-E1E3-4A8F-8197-7373FE950A20}"/>
                </c:ext>
              </c:extLst>
            </c:dLbl>
            <c:dLbl>
              <c:idx val="3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43-E1E3-4A8F-8197-7373FE950A20}"/>
                </c:ext>
              </c:extLst>
            </c:dLbl>
            <c:dLbl>
              <c:idx val="3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45-E1E3-4A8F-8197-7373FE950A20}"/>
                </c:ext>
              </c:extLst>
            </c:dLbl>
            <c:dLbl>
              <c:idx val="3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47-E1E3-4A8F-8197-7373FE950A20}"/>
                </c:ext>
              </c:extLst>
            </c:dLbl>
            <c:dLbl>
              <c:idx val="3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49-E1E3-4A8F-8197-7373FE950A20}"/>
                </c:ext>
              </c:extLst>
            </c:dLbl>
            <c:dLbl>
              <c:idx val="3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4B-E1E3-4A8F-8197-7373FE950A20}"/>
                </c:ext>
              </c:extLst>
            </c:dLbl>
            <c:dLbl>
              <c:idx val="3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4D-E1E3-4A8F-8197-7373FE950A20}"/>
                </c:ext>
              </c:extLst>
            </c:dLbl>
            <c:dLbl>
              <c:idx val="3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4F-E1E3-4A8F-8197-7373FE950A20}"/>
                </c:ext>
              </c:extLst>
            </c:dLbl>
            <c:dLbl>
              <c:idx val="4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51-E1E3-4A8F-8197-7373FE950A20}"/>
                </c:ext>
              </c:extLst>
            </c:dLbl>
            <c:dLbl>
              <c:idx val="4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53-E1E3-4A8F-8197-7373FE950A20}"/>
                </c:ext>
              </c:extLst>
            </c:dLbl>
            <c:dLbl>
              <c:idx val="4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55-E1E3-4A8F-8197-7373FE950A20}"/>
                </c:ext>
              </c:extLst>
            </c:dLbl>
            <c:dLbl>
              <c:idx val="4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57-E1E3-4A8F-8197-7373FE950A20}"/>
                </c:ext>
              </c:extLst>
            </c:dLbl>
            <c:dLbl>
              <c:idx val="4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59-E1E3-4A8F-8197-7373FE950A20}"/>
                </c:ext>
              </c:extLst>
            </c:dLbl>
            <c:dLbl>
              <c:idx val="4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5B-E1E3-4A8F-8197-7373FE950A20}"/>
                </c:ext>
              </c:extLst>
            </c:dLbl>
            <c:dLbl>
              <c:idx val="4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5D-E1E3-4A8F-8197-7373FE950A20}"/>
                </c:ext>
              </c:extLst>
            </c:dLbl>
            <c:dLbl>
              <c:idx val="4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5F-E1E3-4A8F-8197-7373FE950A20}"/>
                </c:ext>
              </c:extLst>
            </c:dLbl>
            <c:dLbl>
              <c:idx val="4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61-E1E3-4A8F-8197-7373FE950A20}"/>
                </c:ext>
              </c:extLst>
            </c:dLbl>
            <c:dLbl>
              <c:idx val="4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63-E1E3-4A8F-8197-7373FE950A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Chart_Data!$A$16:$A$65</c:f>
              <c:strCache>
                <c:ptCount val="50"/>
                <c:pt idx="0">
                  <c:v>PID036</c:v>
                </c:pt>
                <c:pt idx="1">
                  <c:v>PID046</c:v>
                </c:pt>
                <c:pt idx="2">
                  <c:v>PID048</c:v>
                </c:pt>
                <c:pt idx="3">
                  <c:v>PID027</c:v>
                </c:pt>
                <c:pt idx="4">
                  <c:v>PID018</c:v>
                </c:pt>
                <c:pt idx="5">
                  <c:v>PID041</c:v>
                </c:pt>
                <c:pt idx="6">
                  <c:v>PID002</c:v>
                </c:pt>
                <c:pt idx="7">
                  <c:v>PID017</c:v>
                </c:pt>
                <c:pt idx="8">
                  <c:v>PID013</c:v>
                </c:pt>
                <c:pt idx="9">
                  <c:v>PID014</c:v>
                </c:pt>
                <c:pt idx="10">
                  <c:v>PID043</c:v>
                </c:pt>
                <c:pt idx="11">
                  <c:v>PID033</c:v>
                </c:pt>
                <c:pt idx="12">
                  <c:v>PID024</c:v>
                </c:pt>
                <c:pt idx="13">
                  <c:v>PID003</c:v>
                </c:pt>
                <c:pt idx="14">
                  <c:v>PID045</c:v>
                </c:pt>
                <c:pt idx="15">
                  <c:v>PID001</c:v>
                </c:pt>
                <c:pt idx="16">
                  <c:v>PID007</c:v>
                </c:pt>
                <c:pt idx="17">
                  <c:v>PID004</c:v>
                </c:pt>
                <c:pt idx="18">
                  <c:v>PID025</c:v>
                </c:pt>
                <c:pt idx="19">
                  <c:v>PID038</c:v>
                </c:pt>
                <c:pt idx="20">
                  <c:v>PID021</c:v>
                </c:pt>
                <c:pt idx="21">
                  <c:v>PID026</c:v>
                </c:pt>
                <c:pt idx="22">
                  <c:v>PID022</c:v>
                </c:pt>
                <c:pt idx="23">
                  <c:v>PID050</c:v>
                </c:pt>
                <c:pt idx="24">
                  <c:v>PID012</c:v>
                </c:pt>
                <c:pt idx="25">
                  <c:v>PID016</c:v>
                </c:pt>
                <c:pt idx="26">
                  <c:v>PID010</c:v>
                </c:pt>
                <c:pt idx="27">
                  <c:v>PID049</c:v>
                </c:pt>
                <c:pt idx="28">
                  <c:v>PID029</c:v>
                </c:pt>
                <c:pt idx="29">
                  <c:v>PID042</c:v>
                </c:pt>
                <c:pt idx="30">
                  <c:v>PID032</c:v>
                </c:pt>
                <c:pt idx="31">
                  <c:v>PID031</c:v>
                </c:pt>
                <c:pt idx="32">
                  <c:v>PID006</c:v>
                </c:pt>
                <c:pt idx="33">
                  <c:v>PID005</c:v>
                </c:pt>
                <c:pt idx="34">
                  <c:v>PID039</c:v>
                </c:pt>
                <c:pt idx="35">
                  <c:v>PID020</c:v>
                </c:pt>
                <c:pt idx="36">
                  <c:v>PID044</c:v>
                </c:pt>
                <c:pt idx="37">
                  <c:v>PID015</c:v>
                </c:pt>
                <c:pt idx="38">
                  <c:v>PID028</c:v>
                </c:pt>
                <c:pt idx="39">
                  <c:v>PID030</c:v>
                </c:pt>
                <c:pt idx="40">
                  <c:v>PID008</c:v>
                </c:pt>
                <c:pt idx="41">
                  <c:v>PID009</c:v>
                </c:pt>
                <c:pt idx="42">
                  <c:v>PID023</c:v>
                </c:pt>
                <c:pt idx="43">
                  <c:v>PID035</c:v>
                </c:pt>
                <c:pt idx="44">
                  <c:v>PID047</c:v>
                </c:pt>
                <c:pt idx="45">
                  <c:v>PID011</c:v>
                </c:pt>
                <c:pt idx="46">
                  <c:v>PID034</c:v>
                </c:pt>
                <c:pt idx="47">
                  <c:v>PID019</c:v>
                </c:pt>
                <c:pt idx="48">
                  <c:v>PID040</c:v>
                </c:pt>
                <c:pt idx="49">
                  <c:v>PID037</c:v>
                </c:pt>
              </c:strCache>
            </c:strRef>
          </c:cat>
          <c:val>
            <c:numRef>
              <c:f>Chart_Data!$B$16:$B$65</c:f>
              <c:numCache>
                <c:formatCode>General</c:formatCode>
                <c:ptCount val="50"/>
                <c:pt idx="0">
                  <c:v>17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14</c:v>
                </c:pt>
                <c:pt idx="6">
                  <c:v>14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10</c:v>
                </c:pt>
                <c:pt idx="22">
                  <c:v>10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E1E3-4A8F-8197-7373FE950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City-wise Total Orders (Funnel Chart)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Chart_Data!$B$68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Chart_Data!$A$69:$A$76</c:f>
              <c:strCache>
                <c:ptCount val="8"/>
                <c:pt idx="0">
                  <c:v>Houston</c:v>
                </c:pt>
                <c:pt idx="1">
                  <c:v>Los Angeles</c:v>
                </c:pt>
                <c:pt idx="2">
                  <c:v>San Francisco</c:v>
                </c:pt>
                <c:pt idx="3">
                  <c:v>Phoenix</c:v>
                </c:pt>
                <c:pt idx="4">
                  <c:v>Dallas</c:v>
                </c:pt>
                <c:pt idx="5">
                  <c:v>Chicago</c:v>
                </c:pt>
                <c:pt idx="6">
                  <c:v>New York</c:v>
                </c:pt>
                <c:pt idx="7">
                  <c:v>Miami</c:v>
                </c:pt>
              </c:strCache>
            </c:strRef>
          </c:cat>
          <c:val>
            <c:numRef>
              <c:f>Chart_Data!$B$69:$B$76</c:f>
              <c:numCache>
                <c:formatCode>General</c:formatCode>
                <c:ptCount val="8"/>
                <c:pt idx="0">
                  <c:v>80</c:v>
                </c:pt>
                <c:pt idx="1">
                  <c:v>72</c:v>
                </c:pt>
                <c:pt idx="2">
                  <c:v>72</c:v>
                </c:pt>
                <c:pt idx="3">
                  <c:v>66</c:v>
                </c:pt>
                <c:pt idx="4">
                  <c:v>64</c:v>
                </c:pt>
                <c:pt idx="5">
                  <c:v>51</c:v>
                </c:pt>
                <c:pt idx="6">
                  <c:v>51</c:v>
                </c:pt>
                <c:pt idx="7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4-4482-A6E3-91EA0C692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663552"/>
        <c:axId val="82111417"/>
      </c:barChart>
      <c:catAx>
        <c:axId val="6066355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111417"/>
        <c:crosses val="autoZero"/>
        <c:auto val="1"/>
        <c:lblAlgn val="ctr"/>
        <c:lblOffset val="100"/>
        <c:noMultiLvlLbl val="0"/>
      </c:catAx>
      <c:valAx>
        <c:axId val="8211141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6635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City-wise Total Sales After Discount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Chart_Data!$B$79</c:f>
              <c:strCache>
                <c:ptCount val="1"/>
                <c:pt idx="0">
                  <c:v>Total Sales After Discount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Chart_Data!$A$80:$A$87</c:f>
              <c:strCache>
                <c:ptCount val="8"/>
                <c:pt idx="0">
                  <c:v>Houston</c:v>
                </c:pt>
                <c:pt idx="1">
                  <c:v>San Francisco</c:v>
                </c:pt>
                <c:pt idx="2">
                  <c:v>Los Angeles</c:v>
                </c:pt>
                <c:pt idx="3">
                  <c:v>Dallas</c:v>
                </c:pt>
                <c:pt idx="4">
                  <c:v>Phoenix</c:v>
                </c:pt>
                <c:pt idx="5">
                  <c:v>New York</c:v>
                </c:pt>
                <c:pt idx="6">
                  <c:v>Chicago</c:v>
                </c:pt>
                <c:pt idx="7">
                  <c:v>Miami</c:v>
                </c:pt>
              </c:strCache>
            </c:strRef>
          </c:cat>
          <c:val>
            <c:numRef>
              <c:f>Chart_Data!$B$80:$B$87</c:f>
              <c:numCache>
                <c:formatCode>General</c:formatCode>
                <c:ptCount val="8"/>
                <c:pt idx="0">
                  <c:v>60581.07</c:v>
                </c:pt>
                <c:pt idx="1">
                  <c:v>50133.83</c:v>
                </c:pt>
                <c:pt idx="2">
                  <c:v>48033.86</c:v>
                </c:pt>
                <c:pt idx="3">
                  <c:v>46488.29</c:v>
                </c:pt>
                <c:pt idx="4">
                  <c:v>45879.25</c:v>
                </c:pt>
                <c:pt idx="5">
                  <c:v>40048.269999999997</c:v>
                </c:pt>
                <c:pt idx="6">
                  <c:v>33544.93</c:v>
                </c:pt>
                <c:pt idx="7">
                  <c:v>25015.1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F-487F-9923-AEC65C630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86851"/>
        <c:axId val="34452789"/>
      </c:barChart>
      <c:catAx>
        <c:axId val="222868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452789"/>
        <c:crosses val="autoZero"/>
        <c:auto val="1"/>
        <c:lblAlgn val="ctr"/>
        <c:lblOffset val="100"/>
        <c:noMultiLvlLbl val="0"/>
      </c:catAx>
      <c:valAx>
        <c:axId val="344527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2868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5 &amp; Bottom 5 Products by Total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Chart_Data!$B$90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Chart_Data!$A$91:$A$100</c:f>
              <c:strCache>
                <c:ptCount val="10"/>
                <c:pt idx="0">
                  <c:v>PID027</c:v>
                </c:pt>
                <c:pt idx="1">
                  <c:v>PID046</c:v>
                </c:pt>
                <c:pt idx="2">
                  <c:v>PID017</c:v>
                </c:pt>
                <c:pt idx="3">
                  <c:v>PID004</c:v>
                </c:pt>
                <c:pt idx="4">
                  <c:v>PID038</c:v>
                </c:pt>
                <c:pt idx="5">
                  <c:v>PID033</c:v>
                </c:pt>
                <c:pt idx="6">
                  <c:v>PID045</c:v>
                </c:pt>
                <c:pt idx="7">
                  <c:v>PID010</c:v>
                </c:pt>
                <c:pt idx="8">
                  <c:v>PID003</c:v>
                </c:pt>
                <c:pt idx="9">
                  <c:v>PID044</c:v>
                </c:pt>
              </c:strCache>
            </c:strRef>
          </c:cat>
          <c:val>
            <c:numRef>
              <c:f>Chart_Data!$B$91:$B$100</c:f>
              <c:numCache>
                <c:formatCode>General</c:formatCode>
                <c:ptCount val="10"/>
                <c:pt idx="0">
                  <c:v>18975.54</c:v>
                </c:pt>
                <c:pt idx="1">
                  <c:v>16540.57</c:v>
                </c:pt>
                <c:pt idx="2">
                  <c:v>15918.95</c:v>
                </c:pt>
                <c:pt idx="3">
                  <c:v>15374.89</c:v>
                </c:pt>
                <c:pt idx="4">
                  <c:v>14616.77</c:v>
                </c:pt>
                <c:pt idx="5">
                  <c:v>1772.39</c:v>
                </c:pt>
                <c:pt idx="6">
                  <c:v>1492.14</c:v>
                </c:pt>
                <c:pt idx="7">
                  <c:v>1463.31</c:v>
                </c:pt>
                <c:pt idx="8">
                  <c:v>1263.68</c:v>
                </c:pt>
                <c:pt idx="9">
                  <c:v>793.5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C3-405B-8B19-2D94CC7DC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689687"/>
        <c:axId val="17107124"/>
      </c:barChart>
      <c:catAx>
        <c:axId val="616896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107124"/>
        <c:crosses val="autoZero"/>
        <c:auto val="1"/>
        <c:lblAlgn val="ctr"/>
        <c:lblOffset val="100"/>
        <c:noMultiLvlLbl val="0"/>
      </c:catAx>
      <c:valAx>
        <c:axId val="171071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96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Coupon Code Usage (Pie Chart)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640F-44AD-8FE7-8CB16418BE9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40F-44AD-8FE7-8CB16418BE9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40F-44AD-8FE7-8CB16418BE9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640F-44AD-8FE7-8CB16418BE92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640F-44AD-8FE7-8CB16418BE9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40F-44AD-8FE7-8CB16418BE9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40F-44AD-8FE7-8CB16418BE9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40F-44AD-8FE7-8CB16418BE9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40F-44AD-8FE7-8CB16418BE9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640F-44AD-8FE7-8CB16418BE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Chart_Data!$A$104:$A$108</c:f>
              <c:strCache>
                <c:ptCount val="5"/>
                <c:pt idx="0">
                  <c:v>FLAT8</c:v>
                </c:pt>
                <c:pt idx="1">
                  <c:v>FLAT20</c:v>
                </c:pt>
                <c:pt idx="2">
                  <c:v>DEL0</c:v>
                </c:pt>
                <c:pt idx="3">
                  <c:v>FLAT10</c:v>
                </c:pt>
                <c:pt idx="4">
                  <c:v>FLAT15</c:v>
                </c:pt>
              </c:strCache>
            </c:strRef>
          </c:cat>
          <c:val>
            <c:numRef>
              <c:f>Chart_Data!$B$104:$B$108</c:f>
              <c:numCache>
                <c:formatCode>General</c:formatCode>
                <c:ptCount val="5"/>
                <c:pt idx="0">
                  <c:v>111</c:v>
                </c:pt>
                <c:pt idx="1">
                  <c:v>104</c:v>
                </c:pt>
                <c:pt idx="2">
                  <c:v>102</c:v>
                </c:pt>
                <c:pt idx="3">
                  <c:v>100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0F-44AD-8FE7-8CB16418B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 &amp; Gender-wise Total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Chart_Data!$B$111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Chart_Data!$A$112:$A$136</c:f>
              <c:strCache>
                <c:ptCount val="25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</c:strCache>
            </c:strRef>
          </c:cat>
          <c:val>
            <c:numRef>
              <c:f>Chart_Data!$B$112:$B$136</c:f>
              <c:numCache>
                <c:formatCode>General</c:formatCode>
                <c:ptCount val="25"/>
                <c:pt idx="0">
                  <c:v>1080.95</c:v>
                </c:pt>
                <c:pt idx="1">
                  <c:v>3241.99</c:v>
                </c:pt>
                <c:pt idx="2">
                  <c:v>8393.67</c:v>
                </c:pt>
                <c:pt idx="3">
                  <c:v>2589.89</c:v>
                </c:pt>
                <c:pt idx="4">
                  <c:v>3144.38</c:v>
                </c:pt>
                <c:pt idx="5">
                  <c:v>5111.99</c:v>
                </c:pt>
                <c:pt idx="6">
                  <c:v>2849.58</c:v>
                </c:pt>
                <c:pt idx="7">
                  <c:v>3807.62</c:v>
                </c:pt>
                <c:pt idx="8">
                  <c:v>4174.71</c:v>
                </c:pt>
                <c:pt idx="9">
                  <c:v>1159.74</c:v>
                </c:pt>
                <c:pt idx="10">
                  <c:v>1824.81</c:v>
                </c:pt>
                <c:pt idx="11">
                  <c:v>1189.67</c:v>
                </c:pt>
                <c:pt idx="12">
                  <c:v>8394.76</c:v>
                </c:pt>
                <c:pt idx="13">
                  <c:v>8101.77</c:v>
                </c:pt>
                <c:pt idx="14">
                  <c:v>7874.27</c:v>
                </c:pt>
                <c:pt idx="15">
                  <c:v>1100.9100000000001</c:v>
                </c:pt>
                <c:pt idx="16">
                  <c:v>7129.07</c:v>
                </c:pt>
                <c:pt idx="17">
                  <c:v>3421.25</c:v>
                </c:pt>
                <c:pt idx="18">
                  <c:v>7536.79</c:v>
                </c:pt>
                <c:pt idx="19">
                  <c:v>1712.16</c:v>
                </c:pt>
                <c:pt idx="20">
                  <c:v>4009.3</c:v>
                </c:pt>
                <c:pt idx="21">
                  <c:v>2847.28</c:v>
                </c:pt>
                <c:pt idx="22">
                  <c:v>3419.7</c:v>
                </c:pt>
                <c:pt idx="23">
                  <c:v>6874.2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9-4F04-B7D1-A4BC590A29E8}"/>
            </c:ext>
          </c:extLst>
        </c:ser>
        <c:ser>
          <c:idx val="1"/>
          <c:order val="1"/>
          <c:tx>
            <c:strRef>
              <c:f>Chart_Data!$C$111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Chart_Data!$A$112:$A$136</c:f>
              <c:strCache>
                <c:ptCount val="25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</c:strCache>
            </c:strRef>
          </c:cat>
          <c:val>
            <c:numRef>
              <c:f>Chart_Data!$C$112:$C$136</c:f>
              <c:numCache>
                <c:formatCode>General</c:formatCode>
                <c:ptCount val="25"/>
                <c:pt idx="0">
                  <c:v>5634.55</c:v>
                </c:pt>
                <c:pt idx="1">
                  <c:v>3395.48</c:v>
                </c:pt>
                <c:pt idx="2">
                  <c:v>1878.39</c:v>
                </c:pt>
                <c:pt idx="3">
                  <c:v>3850.58</c:v>
                </c:pt>
                <c:pt idx="4">
                  <c:v>8283.18</c:v>
                </c:pt>
                <c:pt idx="5">
                  <c:v>7127.91</c:v>
                </c:pt>
                <c:pt idx="6">
                  <c:v>3629.32</c:v>
                </c:pt>
                <c:pt idx="7">
                  <c:v>5696.92</c:v>
                </c:pt>
                <c:pt idx="8">
                  <c:v>2936.91</c:v>
                </c:pt>
                <c:pt idx="9">
                  <c:v>4901</c:v>
                </c:pt>
                <c:pt idx="10">
                  <c:v>3244.41</c:v>
                </c:pt>
                <c:pt idx="11">
                  <c:v>2817.9</c:v>
                </c:pt>
                <c:pt idx="12">
                  <c:v>2034.18</c:v>
                </c:pt>
                <c:pt idx="13">
                  <c:v>4392.92</c:v>
                </c:pt>
                <c:pt idx="14">
                  <c:v>8398.18</c:v>
                </c:pt>
                <c:pt idx="15">
                  <c:v>4534.28</c:v>
                </c:pt>
                <c:pt idx="16">
                  <c:v>2380.0700000000002</c:v>
                </c:pt>
                <c:pt idx="17">
                  <c:v>7605.23</c:v>
                </c:pt>
                <c:pt idx="18">
                  <c:v>4617.05</c:v>
                </c:pt>
                <c:pt idx="19">
                  <c:v>4229.33</c:v>
                </c:pt>
                <c:pt idx="20">
                  <c:v>6679.51</c:v>
                </c:pt>
                <c:pt idx="21">
                  <c:v>808.56</c:v>
                </c:pt>
                <c:pt idx="22">
                  <c:v>3079.5</c:v>
                </c:pt>
                <c:pt idx="23">
                  <c:v>3668.15</c:v>
                </c:pt>
                <c:pt idx="24">
                  <c:v>403.74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C9-4F04-B7D1-A4BC590A29E8}"/>
            </c:ext>
          </c:extLst>
        </c:ser>
        <c:ser>
          <c:idx val="2"/>
          <c:order val="2"/>
          <c:tx>
            <c:strRef>
              <c:f>Chart_Data!$D$111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Chart_Data!$A$112:$A$136</c:f>
              <c:strCache>
                <c:ptCount val="25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</c:strCache>
            </c:strRef>
          </c:cat>
          <c:val>
            <c:numRef>
              <c:f>Chart_Data!$D$112:$D$136</c:f>
              <c:numCache>
                <c:formatCode>General</c:formatCode>
                <c:ptCount val="25"/>
                <c:pt idx="0">
                  <c:v>2246.0500000000002</c:v>
                </c:pt>
                <c:pt idx="1">
                  <c:v>5306.89</c:v>
                </c:pt>
                <c:pt idx="2">
                  <c:v>4602.16</c:v>
                </c:pt>
                <c:pt idx="3">
                  <c:v>3157.24</c:v>
                </c:pt>
                <c:pt idx="4">
                  <c:v>2963.04</c:v>
                </c:pt>
                <c:pt idx="5">
                  <c:v>8686.02</c:v>
                </c:pt>
                <c:pt idx="6">
                  <c:v>3753.56</c:v>
                </c:pt>
                <c:pt idx="7">
                  <c:v>4160.95</c:v>
                </c:pt>
                <c:pt idx="8">
                  <c:v>4474.5600000000004</c:v>
                </c:pt>
                <c:pt idx="9">
                  <c:v>7690.27</c:v>
                </c:pt>
                <c:pt idx="10">
                  <c:v>6250.1</c:v>
                </c:pt>
                <c:pt idx="11">
                  <c:v>7694.97</c:v>
                </c:pt>
                <c:pt idx="12">
                  <c:v>4578.4799999999996</c:v>
                </c:pt>
                <c:pt idx="13">
                  <c:v>2792.83</c:v>
                </c:pt>
                <c:pt idx="14">
                  <c:v>7596.53</c:v>
                </c:pt>
                <c:pt idx="15">
                  <c:v>7774.72</c:v>
                </c:pt>
                <c:pt idx="16">
                  <c:v>7856.32</c:v>
                </c:pt>
                <c:pt idx="17">
                  <c:v>7007.14</c:v>
                </c:pt>
                <c:pt idx="18">
                  <c:v>5559.96</c:v>
                </c:pt>
                <c:pt idx="19">
                  <c:v>6479.11</c:v>
                </c:pt>
                <c:pt idx="20">
                  <c:v>4085.11</c:v>
                </c:pt>
                <c:pt idx="21">
                  <c:v>9495.06</c:v>
                </c:pt>
                <c:pt idx="22">
                  <c:v>8075.24</c:v>
                </c:pt>
                <c:pt idx="23">
                  <c:v>9109.02</c:v>
                </c:pt>
                <c:pt idx="24">
                  <c:v>1111.55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C9-4F04-B7D1-A4BC590A2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516798"/>
        <c:axId val="87173077"/>
      </c:barChart>
      <c:catAx>
        <c:axId val="935167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173077"/>
        <c:crosses val="autoZero"/>
        <c:auto val="1"/>
        <c:lblAlgn val="ctr"/>
        <c:lblOffset val="100"/>
        <c:noMultiLvlLbl val="0"/>
      </c:catAx>
      <c:valAx>
        <c:axId val="871730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5167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Delivery Status: Late / Intime / BeforeTime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E8CE-4F17-9227-03C236F2F7F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E8CE-4F17-9227-03C236F2F7F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E8CE-4F17-9227-03C236F2F7F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8CE-4F17-9227-03C236F2F7F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8CE-4F17-9227-03C236F2F7F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8CE-4F17-9227-03C236F2F7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Chart_Data!$A$140:$A$142</c:f>
              <c:strCache>
                <c:ptCount val="3"/>
                <c:pt idx="0">
                  <c:v>BeforeTime</c:v>
                </c:pt>
                <c:pt idx="1">
                  <c:v>Late</c:v>
                </c:pt>
                <c:pt idx="2">
                  <c:v>Intime</c:v>
                </c:pt>
              </c:strCache>
            </c:strRef>
          </c:cat>
          <c:val>
            <c:numRef>
              <c:f>Chart_Data!$B$140:$B$142</c:f>
              <c:numCache>
                <c:formatCode>General</c:formatCode>
                <c:ptCount val="3"/>
                <c:pt idx="0">
                  <c:v>213</c:v>
                </c:pt>
                <c:pt idx="1">
                  <c:v>210</c:v>
                </c:pt>
                <c:pt idx="2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CE-4F17-9227-03C236F2F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Year-Month Wise Total Sales &amp; Total Discount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Chart_Data!$B$145</c:f>
              <c:strCache>
                <c:ptCount val="1"/>
                <c:pt idx="0">
                  <c:v>Total Sales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Chart_Data!$A$146:$A$170</c:f>
              <c:strCache>
                <c:ptCount val="25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</c:strCache>
            </c:strRef>
          </c:cat>
          <c:val>
            <c:numRef>
              <c:f>Chart_Data!$B$146:$B$170</c:f>
              <c:numCache>
                <c:formatCode>General</c:formatCode>
                <c:ptCount val="25"/>
                <c:pt idx="0">
                  <c:v>9517.0300000000007</c:v>
                </c:pt>
                <c:pt idx="1">
                  <c:v>12289.19</c:v>
                </c:pt>
                <c:pt idx="2">
                  <c:v>15941.85</c:v>
                </c:pt>
                <c:pt idx="3">
                  <c:v>9818.67</c:v>
                </c:pt>
                <c:pt idx="4">
                  <c:v>14877.74</c:v>
                </c:pt>
                <c:pt idx="5">
                  <c:v>22318.09</c:v>
                </c:pt>
                <c:pt idx="6">
                  <c:v>10607.43</c:v>
                </c:pt>
                <c:pt idx="7">
                  <c:v>14105.17</c:v>
                </c:pt>
                <c:pt idx="8">
                  <c:v>11735.54</c:v>
                </c:pt>
                <c:pt idx="9">
                  <c:v>13923.29</c:v>
                </c:pt>
                <c:pt idx="10">
                  <c:v>11534.27</c:v>
                </c:pt>
                <c:pt idx="11">
                  <c:v>12470.58</c:v>
                </c:pt>
                <c:pt idx="12">
                  <c:v>15173.46</c:v>
                </c:pt>
                <c:pt idx="13">
                  <c:v>15599.88</c:v>
                </c:pt>
                <c:pt idx="14">
                  <c:v>24892.09</c:v>
                </c:pt>
                <c:pt idx="15">
                  <c:v>13706.23</c:v>
                </c:pt>
                <c:pt idx="16">
                  <c:v>18127.3</c:v>
                </c:pt>
                <c:pt idx="17">
                  <c:v>18190.16</c:v>
                </c:pt>
                <c:pt idx="18">
                  <c:v>18769.310000000001</c:v>
                </c:pt>
                <c:pt idx="19">
                  <c:v>13491.06</c:v>
                </c:pt>
                <c:pt idx="20">
                  <c:v>15292.36</c:v>
                </c:pt>
                <c:pt idx="21">
                  <c:v>13558.18</c:v>
                </c:pt>
                <c:pt idx="22">
                  <c:v>15400.09</c:v>
                </c:pt>
                <c:pt idx="23">
                  <c:v>21297.48</c:v>
                </c:pt>
                <c:pt idx="24">
                  <c:v>1653.04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27-462E-B915-A1E5322258A7}"/>
            </c:ext>
          </c:extLst>
        </c:ser>
        <c:ser>
          <c:idx val="1"/>
          <c:order val="1"/>
          <c:tx>
            <c:strRef>
              <c:f>Chart_Data!$C$145</c:f>
              <c:strCache>
                <c:ptCount val="1"/>
                <c:pt idx="0">
                  <c:v>Total Discount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Chart_Data!$A$146:$A$170</c:f>
              <c:strCache>
                <c:ptCount val="25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</c:strCache>
            </c:strRef>
          </c:cat>
          <c:val>
            <c:numRef>
              <c:f>Chart_Data!$C$146:$C$170</c:f>
              <c:numCache>
                <c:formatCode>General</c:formatCode>
                <c:ptCount val="25"/>
                <c:pt idx="0">
                  <c:v>1228.48</c:v>
                </c:pt>
                <c:pt idx="1">
                  <c:v>1349.84</c:v>
                </c:pt>
                <c:pt idx="2">
                  <c:v>2099.62</c:v>
                </c:pt>
                <c:pt idx="3">
                  <c:v>1092.96</c:v>
                </c:pt>
                <c:pt idx="4">
                  <c:v>1453.14</c:v>
                </c:pt>
                <c:pt idx="5">
                  <c:v>2492.17</c:v>
                </c:pt>
                <c:pt idx="6">
                  <c:v>1310.97</c:v>
                </c:pt>
                <c:pt idx="7">
                  <c:v>1845.68</c:v>
                </c:pt>
                <c:pt idx="8">
                  <c:v>1209.3599999999999</c:v>
                </c:pt>
                <c:pt idx="9">
                  <c:v>1099.29</c:v>
                </c:pt>
                <c:pt idx="10">
                  <c:v>1478.96</c:v>
                </c:pt>
                <c:pt idx="11">
                  <c:v>1524.04</c:v>
                </c:pt>
                <c:pt idx="12">
                  <c:v>1305.03</c:v>
                </c:pt>
                <c:pt idx="13">
                  <c:v>1535.36</c:v>
                </c:pt>
                <c:pt idx="14">
                  <c:v>2503.11</c:v>
                </c:pt>
                <c:pt idx="15">
                  <c:v>1166.32</c:v>
                </c:pt>
                <c:pt idx="16">
                  <c:v>1926.84</c:v>
                </c:pt>
                <c:pt idx="17">
                  <c:v>1417.54</c:v>
                </c:pt>
                <c:pt idx="18">
                  <c:v>2241.5100000000002</c:v>
                </c:pt>
                <c:pt idx="19">
                  <c:v>2203.46</c:v>
                </c:pt>
                <c:pt idx="20">
                  <c:v>1822.43</c:v>
                </c:pt>
                <c:pt idx="21">
                  <c:v>1289.27</c:v>
                </c:pt>
                <c:pt idx="22">
                  <c:v>1712.66</c:v>
                </c:pt>
                <c:pt idx="23">
                  <c:v>3057.11</c:v>
                </c:pt>
                <c:pt idx="24">
                  <c:v>322.75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27-462E-B915-A1E532225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5481501"/>
        <c:axId val="16691973"/>
      </c:lineChart>
      <c:catAx>
        <c:axId val="154815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691973"/>
        <c:crosses val="autoZero"/>
        <c:auto val="1"/>
        <c:lblAlgn val="ctr"/>
        <c:lblOffset val="100"/>
        <c:noMultiLvlLbl val="0"/>
      </c:catAx>
      <c:valAx>
        <c:axId val="166919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815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Email Domain Distribution (Bar Chart)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Chart_Data!$B$173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Chart_Data!$A$174:$A$177</c:f>
              <c:strCache>
                <c:ptCount val="4"/>
                <c:pt idx="0">
                  <c:v>yahoo.com</c:v>
                </c:pt>
                <c:pt idx="1">
                  <c:v>outlook.com</c:v>
                </c:pt>
                <c:pt idx="2">
                  <c:v>rediffmail.com</c:v>
                </c:pt>
                <c:pt idx="3">
                  <c:v>gmail.com</c:v>
                </c:pt>
              </c:strCache>
            </c:strRef>
          </c:cat>
          <c:val>
            <c:numRef>
              <c:f>Chart_Data!$B$174:$B$177</c:f>
              <c:numCache>
                <c:formatCode>General</c:formatCode>
                <c:ptCount val="4"/>
                <c:pt idx="0">
                  <c:v>138</c:v>
                </c:pt>
                <c:pt idx="1">
                  <c:v>132</c:v>
                </c:pt>
                <c:pt idx="2">
                  <c:v>118</c:v>
                </c:pt>
                <c:pt idx="3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B-4C9A-94B9-5BECB3617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314258"/>
        <c:axId val="60176393"/>
      </c:barChart>
      <c:catAx>
        <c:axId val="793142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Email Domain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176393"/>
        <c:crosses val="autoZero"/>
        <c:auto val="1"/>
        <c:lblAlgn val="ctr"/>
        <c:lblOffset val="100"/>
        <c:noMultiLvlLbl val="0"/>
      </c:catAx>
      <c:valAx>
        <c:axId val="601763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3142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38100</xdr:rowOff>
    </xdr:from>
    <xdr:to>
      <xdr:col>15</xdr:col>
      <xdr:colOff>520700</xdr:colOff>
      <xdr:row>30</xdr:row>
      <xdr:rowOff>103260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50800</xdr:colOff>
      <xdr:row>2</xdr:row>
      <xdr:rowOff>38100</xdr:rowOff>
    </xdr:from>
    <xdr:to>
      <xdr:col>28</xdr:col>
      <xdr:colOff>523120</xdr:colOff>
      <xdr:row>30</xdr:row>
      <xdr:rowOff>103260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44449</xdr:colOff>
      <xdr:row>32</xdr:row>
      <xdr:rowOff>38101</xdr:rowOff>
    </xdr:from>
    <xdr:to>
      <xdr:col>15</xdr:col>
      <xdr:colOff>508000</xdr:colOff>
      <xdr:row>54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63500</xdr:colOff>
      <xdr:row>32</xdr:row>
      <xdr:rowOff>76200</xdr:rowOff>
    </xdr:from>
    <xdr:to>
      <xdr:col>28</xdr:col>
      <xdr:colOff>508000</xdr:colOff>
      <xdr:row>54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38100</xdr:colOff>
      <xdr:row>56</xdr:row>
      <xdr:rowOff>38100</xdr:rowOff>
    </xdr:from>
    <xdr:to>
      <xdr:col>15</xdr:col>
      <xdr:colOff>533400</xdr:colOff>
      <xdr:row>78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63500</xdr:colOff>
      <xdr:row>56</xdr:row>
      <xdr:rowOff>50800</xdr:rowOff>
    </xdr:from>
    <xdr:to>
      <xdr:col>28</xdr:col>
      <xdr:colOff>546100</xdr:colOff>
      <xdr:row>78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50800</xdr:colOff>
      <xdr:row>80</xdr:row>
      <xdr:rowOff>63500</xdr:rowOff>
    </xdr:from>
    <xdr:to>
      <xdr:col>15</xdr:col>
      <xdr:colOff>533400</xdr:colOff>
      <xdr:row>101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17</xdr:col>
      <xdr:colOff>63500</xdr:colOff>
      <xdr:row>80</xdr:row>
      <xdr:rowOff>63500</xdr:rowOff>
    </xdr:from>
    <xdr:to>
      <xdr:col>28</xdr:col>
      <xdr:colOff>508000</xdr:colOff>
      <xdr:row>101</xdr:row>
      <xdr:rowOff>127000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50800</xdr:colOff>
      <xdr:row>103</xdr:row>
      <xdr:rowOff>50800</xdr:rowOff>
    </xdr:from>
    <xdr:to>
      <xdr:col>15</xdr:col>
      <xdr:colOff>508000</xdr:colOff>
      <xdr:row>129</xdr:row>
      <xdr:rowOff>127000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17</xdr:col>
      <xdr:colOff>50800</xdr:colOff>
      <xdr:row>103</xdr:row>
      <xdr:rowOff>63500</xdr:rowOff>
    </xdr:from>
    <xdr:to>
      <xdr:col>28</xdr:col>
      <xdr:colOff>558800</xdr:colOff>
      <xdr:row>129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1"/>
  <sheetViews>
    <sheetView tabSelected="1" topLeftCell="P1" zoomScale="80" zoomScaleNormal="80" workbookViewId="0">
      <selection activeCell="V2" sqref="V2"/>
    </sheetView>
  </sheetViews>
  <sheetFormatPr defaultColWidth="8.6640625" defaultRowHeight="14.4" x14ac:dyDescent="0.3"/>
  <cols>
    <col min="1" max="1" width="13" customWidth="1"/>
    <col min="2" max="2" width="12.44140625" customWidth="1"/>
    <col min="3" max="3" width="12.5546875" customWidth="1"/>
    <col min="4" max="4" width="7.5546875" customWidth="1"/>
    <col min="5" max="5" width="9.77734375" customWidth="1"/>
    <col min="6" max="6" width="15" customWidth="1"/>
    <col min="7" max="7" width="32.6640625" customWidth="1"/>
    <col min="8" max="8" width="59.77734375" customWidth="1"/>
    <col min="9" max="9" width="12.33203125" customWidth="1"/>
    <col min="10" max="10" width="14.44140625" customWidth="1"/>
    <col min="11" max="11" width="14.6640625" customWidth="1"/>
    <col min="12" max="12" width="14" customWidth="1"/>
    <col min="13" max="13" width="14.109375" customWidth="1"/>
    <col min="14" max="14" width="10.21875" customWidth="1"/>
    <col min="15" max="15" width="17.6640625" customWidth="1"/>
    <col min="16" max="16" width="27.77734375" customWidth="1"/>
    <col min="17" max="17" width="18.44140625" customWidth="1"/>
    <col min="18" max="18" width="18.5546875" customWidth="1"/>
    <col min="19" max="19" width="18.44140625" customWidth="1"/>
    <col min="20" max="21" width="20" style="35" customWidth="1"/>
    <col min="22" max="22" width="28" style="35" customWidth="1"/>
    <col min="23" max="23" width="21.21875" style="35" customWidth="1"/>
    <col min="24" max="26" width="20" style="35" customWidth="1"/>
    <col min="27" max="27" width="22.6640625" style="35" customWidth="1"/>
  </cols>
  <sheetData>
    <row r="1" spans="1:27" ht="26.2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32" t="s">
        <v>19</v>
      </c>
      <c r="U1" s="32" t="s">
        <v>20</v>
      </c>
      <c r="V1" s="37" t="s">
        <v>2178</v>
      </c>
      <c r="W1" s="32" t="s">
        <v>21</v>
      </c>
      <c r="X1" s="32" t="s">
        <v>22</v>
      </c>
      <c r="Y1" s="32" t="s">
        <v>23</v>
      </c>
      <c r="Z1" s="32" t="s">
        <v>24</v>
      </c>
      <c r="AA1" s="32" t="s">
        <v>25</v>
      </c>
    </row>
    <row r="2" spans="1:27" ht="14.25" customHeight="1" x14ac:dyDescent="0.3">
      <c r="A2" t="s">
        <v>26</v>
      </c>
      <c r="B2" t="s">
        <v>27</v>
      </c>
      <c r="C2" t="s">
        <v>28</v>
      </c>
      <c r="D2">
        <v>37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s="8">
        <v>45358</v>
      </c>
      <c r="K2" t="s">
        <v>34</v>
      </c>
      <c r="L2" t="s">
        <v>35</v>
      </c>
      <c r="M2">
        <v>308.88</v>
      </c>
      <c r="N2">
        <v>5</v>
      </c>
      <c r="O2" t="s">
        <v>36</v>
      </c>
      <c r="P2">
        <v>4</v>
      </c>
      <c r="Q2">
        <v>60</v>
      </c>
      <c r="R2" s="8">
        <v>45361</v>
      </c>
      <c r="S2" t="s">
        <v>37</v>
      </c>
      <c r="T2" s="33">
        <f t="shared" ref="T2:T65" si="0">R2-J2</f>
        <v>3</v>
      </c>
      <c r="U2" s="33">
        <f t="shared" ref="U2:U65" si="1">M2*N2</f>
        <v>1544.4</v>
      </c>
      <c r="V2" s="33">
        <f t="shared" ref="V2:V65" si="2">U2+Q2</f>
        <v>1604.4</v>
      </c>
      <c r="W2" s="36">
        <f>IF(O2="FLAT8",0.08,IF(O2="FLAT10",0.1,IF(O2="FLAT15",0.15,IF(O2="FLAT20",0.2,0))))</f>
        <v>0.08</v>
      </c>
      <c r="X2" s="33">
        <f t="shared" ref="X2:X65" si="3">V2*(1-W2)</f>
        <v>1476.0480000000002</v>
      </c>
      <c r="Y2" s="33" t="str">
        <f t="shared" ref="Y2:Y65" si="4">B2&amp;" "&amp;C2</f>
        <v>Anne Oconnell</v>
      </c>
      <c r="Z2" s="33" t="str">
        <f t="shared" ref="Z2:Z65" si="5">IF(T2&gt;P2,"Late",IF(T2&lt;P2,"BeforeTime","Intime"))</f>
        <v>BeforeTime</v>
      </c>
      <c r="AA2" s="33" t="str">
        <f t="shared" ref="AA2:AA65" si="6">MID(G2,FIND("@",G2)+1,LEN(G2)-FIND("@",G2))</f>
        <v>outlook.com</v>
      </c>
    </row>
    <row r="3" spans="1:27" ht="14.25" customHeight="1" x14ac:dyDescent="0.3">
      <c r="A3" t="s">
        <v>38</v>
      </c>
      <c r="B3" t="s">
        <v>39</v>
      </c>
      <c r="C3" t="s">
        <v>40</v>
      </c>
      <c r="D3">
        <v>53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s="8">
        <v>45378</v>
      </c>
      <c r="K3" t="s">
        <v>46</v>
      </c>
      <c r="L3" t="s">
        <v>47</v>
      </c>
      <c r="M3">
        <v>166.28</v>
      </c>
      <c r="N3">
        <v>4</v>
      </c>
      <c r="O3" t="s">
        <v>36</v>
      </c>
      <c r="P3">
        <v>7</v>
      </c>
      <c r="Q3">
        <v>66</v>
      </c>
      <c r="R3" s="8">
        <v>45381</v>
      </c>
      <c r="S3" t="s">
        <v>48</v>
      </c>
      <c r="T3" s="34">
        <f t="shared" si="0"/>
        <v>3</v>
      </c>
      <c r="U3" s="34">
        <f t="shared" si="1"/>
        <v>665.12</v>
      </c>
      <c r="V3" s="34">
        <f t="shared" si="2"/>
        <v>731.12</v>
      </c>
      <c r="W3" s="36">
        <f t="shared" ref="W3:W66" si="7">IF(O3="FLAT8",0.08,IF(O3="FLAT10",0.1,IF(O3="FLAT15",0.15,IF(O3="FLAT20",0.2,0))))</f>
        <v>0.08</v>
      </c>
      <c r="X3" s="34">
        <f t="shared" si="3"/>
        <v>672.63040000000001</v>
      </c>
      <c r="Y3" s="34" t="str">
        <f t="shared" si="4"/>
        <v>Anthony Thomas</v>
      </c>
      <c r="Z3" s="34" t="str">
        <f t="shared" si="5"/>
        <v>BeforeTime</v>
      </c>
      <c r="AA3" s="34" t="str">
        <f t="shared" si="6"/>
        <v>rediffmail.com</v>
      </c>
    </row>
    <row r="4" spans="1:27" ht="14.25" customHeight="1" x14ac:dyDescent="0.3">
      <c r="A4" t="s">
        <v>49</v>
      </c>
      <c r="B4" t="s">
        <v>50</v>
      </c>
      <c r="C4" t="s">
        <v>51</v>
      </c>
      <c r="D4">
        <v>60</v>
      </c>
      <c r="E4" t="s">
        <v>52</v>
      </c>
      <c r="F4" t="s">
        <v>30</v>
      </c>
      <c r="G4" t="s">
        <v>53</v>
      </c>
      <c r="H4" t="s">
        <v>54</v>
      </c>
      <c r="I4" t="s">
        <v>55</v>
      </c>
      <c r="J4" s="8">
        <v>45342</v>
      </c>
      <c r="K4" t="s">
        <v>56</v>
      </c>
      <c r="L4" t="s">
        <v>57</v>
      </c>
      <c r="M4">
        <v>202.54</v>
      </c>
      <c r="N4">
        <v>1</v>
      </c>
      <c r="O4" t="s">
        <v>58</v>
      </c>
      <c r="P4">
        <v>3</v>
      </c>
      <c r="Q4">
        <v>47</v>
      </c>
      <c r="R4" s="8">
        <v>45344</v>
      </c>
      <c r="S4" t="s">
        <v>59</v>
      </c>
      <c r="T4" s="33">
        <f t="shared" si="0"/>
        <v>2</v>
      </c>
      <c r="U4" s="33">
        <f t="shared" si="1"/>
        <v>202.54</v>
      </c>
      <c r="V4" s="33">
        <f t="shared" si="2"/>
        <v>249.54</v>
      </c>
      <c r="W4" s="36">
        <f t="shared" si="7"/>
        <v>0.15</v>
      </c>
      <c r="X4" s="33">
        <f t="shared" si="3"/>
        <v>212.10899999999998</v>
      </c>
      <c r="Y4" s="33" t="str">
        <f t="shared" si="4"/>
        <v>Karl Gallagher</v>
      </c>
      <c r="Z4" s="33" t="str">
        <f t="shared" si="5"/>
        <v>BeforeTime</v>
      </c>
      <c r="AA4" s="33" t="str">
        <f t="shared" si="6"/>
        <v>rediffmail.com</v>
      </c>
    </row>
    <row r="5" spans="1:27" ht="14.25" customHeight="1" x14ac:dyDescent="0.3">
      <c r="A5" t="s">
        <v>49</v>
      </c>
      <c r="B5" t="s">
        <v>50</v>
      </c>
      <c r="C5" t="s">
        <v>51</v>
      </c>
      <c r="D5">
        <v>60</v>
      </c>
      <c r="E5" t="s">
        <v>52</v>
      </c>
      <c r="F5" t="s">
        <v>30</v>
      </c>
      <c r="G5" t="s">
        <v>53</v>
      </c>
      <c r="H5" t="s">
        <v>54</v>
      </c>
      <c r="I5" t="s">
        <v>60</v>
      </c>
      <c r="J5" s="8">
        <v>45426</v>
      </c>
      <c r="K5" t="s">
        <v>61</v>
      </c>
      <c r="L5" t="s">
        <v>62</v>
      </c>
      <c r="M5">
        <v>405</v>
      </c>
      <c r="N5">
        <v>5</v>
      </c>
      <c r="O5" t="s">
        <v>63</v>
      </c>
      <c r="P5">
        <v>6</v>
      </c>
      <c r="Q5">
        <v>47</v>
      </c>
      <c r="R5" s="8">
        <v>45430</v>
      </c>
      <c r="S5" t="s">
        <v>64</v>
      </c>
      <c r="T5" s="34">
        <f t="shared" si="0"/>
        <v>4</v>
      </c>
      <c r="U5" s="34">
        <f t="shared" si="1"/>
        <v>2025</v>
      </c>
      <c r="V5" s="34">
        <f t="shared" si="2"/>
        <v>2072</v>
      </c>
      <c r="W5" s="36">
        <f t="shared" si="7"/>
        <v>0</v>
      </c>
      <c r="X5" s="34">
        <f t="shared" si="3"/>
        <v>2072</v>
      </c>
      <c r="Y5" s="34" t="str">
        <f t="shared" si="4"/>
        <v>Karl Gallagher</v>
      </c>
      <c r="Z5" s="34" t="str">
        <f t="shared" si="5"/>
        <v>BeforeTime</v>
      </c>
      <c r="AA5" s="34" t="str">
        <f t="shared" si="6"/>
        <v>rediffmail.com</v>
      </c>
    </row>
    <row r="6" spans="1:27" ht="14.25" customHeight="1" x14ac:dyDescent="0.3">
      <c r="A6" t="s">
        <v>65</v>
      </c>
      <c r="B6" t="s">
        <v>66</v>
      </c>
      <c r="C6" t="s">
        <v>67</v>
      </c>
      <c r="D6">
        <v>49</v>
      </c>
      <c r="E6" t="s">
        <v>52</v>
      </c>
      <c r="F6" t="s">
        <v>30</v>
      </c>
      <c r="G6" t="s">
        <v>68</v>
      </c>
      <c r="H6" t="s">
        <v>69</v>
      </c>
      <c r="I6" t="s">
        <v>70</v>
      </c>
      <c r="J6" s="8">
        <v>45391</v>
      </c>
      <c r="K6" t="s">
        <v>71</v>
      </c>
      <c r="L6" t="s">
        <v>47</v>
      </c>
      <c r="M6">
        <v>166.28</v>
      </c>
      <c r="N6">
        <v>1</v>
      </c>
      <c r="O6" t="s">
        <v>36</v>
      </c>
      <c r="P6">
        <v>2</v>
      </c>
      <c r="Q6">
        <v>54</v>
      </c>
      <c r="R6" s="8">
        <v>45395</v>
      </c>
      <c r="S6" t="s">
        <v>72</v>
      </c>
      <c r="T6" s="33">
        <f t="shared" si="0"/>
        <v>4</v>
      </c>
      <c r="U6" s="33">
        <f t="shared" si="1"/>
        <v>166.28</v>
      </c>
      <c r="V6" s="33">
        <f t="shared" si="2"/>
        <v>220.28</v>
      </c>
      <c r="W6" s="36">
        <f t="shared" si="7"/>
        <v>0.08</v>
      </c>
      <c r="X6" s="33">
        <f t="shared" si="3"/>
        <v>202.6576</v>
      </c>
      <c r="Y6" s="33" t="str">
        <f t="shared" si="4"/>
        <v>Angela Horne</v>
      </c>
      <c r="Z6" s="33" t="str">
        <f t="shared" si="5"/>
        <v>Late</v>
      </c>
      <c r="AA6" s="33" t="str">
        <f t="shared" si="6"/>
        <v>outlook.com</v>
      </c>
    </row>
    <row r="7" spans="1:27" ht="14.25" customHeight="1" x14ac:dyDescent="0.3">
      <c r="A7" t="s">
        <v>73</v>
      </c>
      <c r="B7" t="s">
        <v>74</v>
      </c>
      <c r="C7" t="s">
        <v>75</v>
      </c>
      <c r="D7">
        <v>53</v>
      </c>
      <c r="E7" t="s">
        <v>52</v>
      </c>
      <c r="F7" t="s">
        <v>76</v>
      </c>
      <c r="G7" t="s">
        <v>77</v>
      </c>
      <c r="H7" t="s">
        <v>78</v>
      </c>
      <c r="I7" t="s">
        <v>79</v>
      </c>
      <c r="J7" s="8">
        <v>45543</v>
      </c>
      <c r="K7" t="s">
        <v>80</v>
      </c>
      <c r="L7" t="s">
        <v>81</v>
      </c>
      <c r="M7">
        <v>330.11</v>
      </c>
      <c r="N7">
        <v>4</v>
      </c>
      <c r="O7" t="s">
        <v>58</v>
      </c>
      <c r="P7">
        <v>6</v>
      </c>
      <c r="Q7">
        <v>39</v>
      </c>
      <c r="R7" s="8">
        <v>45547</v>
      </c>
      <c r="S7" t="s">
        <v>82</v>
      </c>
      <c r="T7" s="34">
        <f t="shared" si="0"/>
        <v>4</v>
      </c>
      <c r="U7" s="34">
        <f t="shared" si="1"/>
        <v>1320.44</v>
      </c>
      <c r="V7" s="34">
        <f t="shared" si="2"/>
        <v>1359.44</v>
      </c>
      <c r="W7" s="36">
        <f t="shared" si="7"/>
        <v>0.15</v>
      </c>
      <c r="X7" s="34">
        <f t="shared" si="3"/>
        <v>1155.5240000000001</v>
      </c>
      <c r="Y7" s="34" t="str">
        <f t="shared" si="4"/>
        <v>Christine West</v>
      </c>
      <c r="Z7" s="34" t="str">
        <f t="shared" si="5"/>
        <v>BeforeTime</v>
      </c>
      <c r="AA7" s="34" t="str">
        <f t="shared" si="6"/>
        <v>gmail.com</v>
      </c>
    </row>
    <row r="8" spans="1:27" ht="14.25" customHeight="1" x14ac:dyDescent="0.3">
      <c r="A8" t="s">
        <v>49</v>
      </c>
      <c r="B8" t="s">
        <v>50</v>
      </c>
      <c r="C8" t="s">
        <v>51</v>
      </c>
      <c r="D8">
        <v>60</v>
      </c>
      <c r="E8" t="s">
        <v>52</v>
      </c>
      <c r="F8" t="s">
        <v>30</v>
      </c>
      <c r="G8" t="s">
        <v>53</v>
      </c>
      <c r="H8" t="s">
        <v>54</v>
      </c>
      <c r="I8" t="s">
        <v>83</v>
      </c>
      <c r="J8" s="8">
        <v>45662</v>
      </c>
      <c r="K8" t="s">
        <v>84</v>
      </c>
      <c r="L8" t="s">
        <v>35</v>
      </c>
      <c r="M8">
        <v>308.88</v>
      </c>
      <c r="N8">
        <v>5</v>
      </c>
      <c r="O8" t="s">
        <v>85</v>
      </c>
      <c r="P8">
        <v>5</v>
      </c>
      <c r="Q8">
        <v>47</v>
      </c>
      <c r="R8" s="8">
        <v>45665</v>
      </c>
      <c r="S8" t="s">
        <v>86</v>
      </c>
      <c r="T8" s="33">
        <f t="shared" si="0"/>
        <v>3</v>
      </c>
      <c r="U8" s="33">
        <f t="shared" si="1"/>
        <v>1544.4</v>
      </c>
      <c r="V8" s="33">
        <f t="shared" si="2"/>
        <v>1591.4</v>
      </c>
      <c r="W8" s="36">
        <f t="shared" si="7"/>
        <v>0.2</v>
      </c>
      <c r="X8" s="33">
        <f t="shared" si="3"/>
        <v>1273.1200000000001</v>
      </c>
      <c r="Y8" s="33" t="str">
        <f t="shared" si="4"/>
        <v>Karl Gallagher</v>
      </c>
      <c r="Z8" s="33" t="str">
        <f t="shared" si="5"/>
        <v>BeforeTime</v>
      </c>
      <c r="AA8" s="33" t="str">
        <f t="shared" si="6"/>
        <v>rediffmail.com</v>
      </c>
    </row>
    <row r="9" spans="1:27" ht="14.25" customHeight="1" x14ac:dyDescent="0.3">
      <c r="A9" t="s">
        <v>87</v>
      </c>
      <c r="B9" t="s">
        <v>88</v>
      </c>
      <c r="C9" t="s">
        <v>89</v>
      </c>
      <c r="D9">
        <v>26</v>
      </c>
      <c r="E9" t="s">
        <v>41</v>
      </c>
      <c r="F9" t="s">
        <v>90</v>
      </c>
      <c r="G9" t="s">
        <v>91</v>
      </c>
      <c r="H9" t="s">
        <v>92</v>
      </c>
      <c r="I9" t="s">
        <v>93</v>
      </c>
      <c r="J9" s="8">
        <v>45459</v>
      </c>
      <c r="K9" t="s">
        <v>94</v>
      </c>
      <c r="L9" t="s">
        <v>95</v>
      </c>
      <c r="M9">
        <v>363.64</v>
      </c>
      <c r="N9">
        <v>3</v>
      </c>
      <c r="O9" t="s">
        <v>96</v>
      </c>
      <c r="P9">
        <v>2</v>
      </c>
      <c r="Q9">
        <v>70</v>
      </c>
      <c r="R9" s="8">
        <v>45464</v>
      </c>
      <c r="S9" t="s">
        <v>97</v>
      </c>
      <c r="T9" s="34">
        <f t="shared" si="0"/>
        <v>5</v>
      </c>
      <c r="U9" s="34">
        <f t="shared" si="1"/>
        <v>1090.92</v>
      </c>
      <c r="V9" s="34">
        <f t="shared" si="2"/>
        <v>1160.92</v>
      </c>
      <c r="W9" s="36">
        <f t="shared" si="7"/>
        <v>0.1</v>
      </c>
      <c r="X9" s="34">
        <f t="shared" si="3"/>
        <v>1044.8280000000002</v>
      </c>
      <c r="Y9" s="34" t="str">
        <f t="shared" si="4"/>
        <v>David Delacruz</v>
      </c>
      <c r="Z9" s="34" t="str">
        <f t="shared" si="5"/>
        <v>Late</v>
      </c>
      <c r="AA9" s="34" t="str">
        <f t="shared" si="6"/>
        <v>rediffmail.com</v>
      </c>
    </row>
    <row r="10" spans="1:27" ht="14.25" customHeight="1" x14ac:dyDescent="0.3">
      <c r="A10" t="s">
        <v>98</v>
      </c>
      <c r="B10" t="s">
        <v>99</v>
      </c>
      <c r="C10" t="s">
        <v>100</v>
      </c>
      <c r="D10">
        <v>39</v>
      </c>
      <c r="E10" t="s">
        <v>29</v>
      </c>
      <c r="F10" t="s">
        <v>30</v>
      </c>
      <c r="G10" t="s">
        <v>101</v>
      </c>
      <c r="H10" t="s">
        <v>102</v>
      </c>
      <c r="I10" t="s">
        <v>103</v>
      </c>
      <c r="J10" s="8">
        <v>45040</v>
      </c>
      <c r="K10" t="s">
        <v>104</v>
      </c>
      <c r="L10" t="s">
        <v>105</v>
      </c>
      <c r="M10">
        <v>275.44</v>
      </c>
      <c r="N10">
        <v>1</v>
      </c>
      <c r="O10" t="s">
        <v>36</v>
      </c>
      <c r="P10">
        <v>7</v>
      </c>
      <c r="Q10">
        <v>63</v>
      </c>
      <c r="R10" s="8">
        <v>45042</v>
      </c>
      <c r="S10" t="s">
        <v>106</v>
      </c>
      <c r="T10" s="33">
        <f t="shared" si="0"/>
        <v>2</v>
      </c>
      <c r="U10" s="33">
        <f t="shared" si="1"/>
        <v>275.44</v>
      </c>
      <c r="V10" s="33">
        <f t="shared" si="2"/>
        <v>338.44</v>
      </c>
      <c r="W10" s="36">
        <f t="shared" si="7"/>
        <v>0.08</v>
      </c>
      <c r="X10" s="33">
        <f t="shared" si="3"/>
        <v>311.3648</v>
      </c>
      <c r="Y10" s="33" t="str">
        <f t="shared" si="4"/>
        <v>Marcus Valenzuela</v>
      </c>
      <c r="Z10" s="33" t="str">
        <f t="shared" si="5"/>
        <v>BeforeTime</v>
      </c>
      <c r="AA10" s="33" t="str">
        <f t="shared" si="6"/>
        <v>yahoo.com</v>
      </c>
    </row>
    <row r="11" spans="1:27" ht="14.25" customHeight="1" x14ac:dyDescent="0.3">
      <c r="A11" t="s">
        <v>107</v>
      </c>
      <c r="B11" t="s">
        <v>108</v>
      </c>
      <c r="C11" t="s">
        <v>109</v>
      </c>
      <c r="D11">
        <v>48</v>
      </c>
      <c r="E11" t="s">
        <v>52</v>
      </c>
      <c r="F11" t="s">
        <v>42</v>
      </c>
      <c r="G11" t="s">
        <v>110</v>
      </c>
      <c r="H11" t="s">
        <v>111</v>
      </c>
      <c r="I11" t="s">
        <v>112</v>
      </c>
      <c r="J11" s="8">
        <v>45282</v>
      </c>
      <c r="K11" t="s">
        <v>113</v>
      </c>
      <c r="L11" t="s">
        <v>114</v>
      </c>
      <c r="M11">
        <v>48.45</v>
      </c>
      <c r="N11">
        <v>1</v>
      </c>
      <c r="O11" t="s">
        <v>58</v>
      </c>
      <c r="P11">
        <v>7</v>
      </c>
      <c r="Q11">
        <v>59</v>
      </c>
      <c r="R11" s="8">
        <v>45287</v>
      </c>
      <c r="S11" t="s">
        <v>115</v>
      </c>
      <c r="T11" s="34">
        <f t="shared" si="0"/>
        <v>5</v>
      </c>
      <c r="U11" s="34">
        <f t="shared" si="1"/>
        <v>48.45</v>
      </c>
      <c r="V11" s="34">
        <f t="shared" si="2"/>
        <v>107.45</v>
      </c>
      <c r="W11" s="36">
        <f t="shared" si="7"/>
        <v>0.15</v>
      </c>
      <c r="X11" s="34">
        <f t="shared" si="3"/>
        <v>91.332499999999996</v>
      </c>
      <c r="Y11" s="34" t="str">
        <f t="shared" si="4"/>
        <v>Debra Rodriguez</v>
      </c>
      <c r="Z11" s="34" t="str">
        <f t="shared" si="5"/>
        <v>BeforeTime</v>
      </c>
      <c r="AA11" s="34" t="str">
        <f t="shared" si="6"/>
        <v>rediffmail.com</v>
      </c>
    </row>
    <row r="12" spans="1:27" ht="14.25" customHeight="1" x14ac:dyDescent="0.3">
      <c r="A12" t="s">
        <v>49</v>
      </c>
      <c r="B12" t="s">
        <v>50</v>
      </c>
      <c r="C12" t="s">
        <v>51</v>
      </c>
      <c r="D12">
        <v>60</v>
      </c>
      <c r="E12" t="s">
        <v>52</v>
      </c>
      <c r="F12" t="s">
        <v>30</v>
      </c>
      <c r="G12" t="s">
        <v>53</v>
      </c>
      <c r="H12" t="s">
        <v>54</v>
      </c>
      <c r="I12" t="s">
        <v>116</v>
      </c>
      <c r="J12" s="8">
        <v>45588</v>
      </c>
      <c r="K12" t="s">
        <v>117</v>
      </c>
      <c r="L12" t="s">
        <v>95</v>
      </c>
      <c r="M12">
        <v>363.64</v>
      </c>
      <c r="N12">
        <v>4</v>
      </c>
      <c r="O12" t="s">
        <v>63</v>
      </c>
      <c r="P12">
        <v>2</v>
      </c>
      <c r="Q12">
        <v>35</v>
      </c>
      <c r="R12" s="8">
        <v>45590</v>
      </c>
      <c r="S12" t="s">
        <v>118</v>
      </c>
      <c r="T12" s="33">
        <f t="shared" si="0"/>
        <v>2</v>
      </c>
      <c r="U12" s="33">
        <f t="shared" si="1"/>
        <v>1454.56</v>
      </c>
      <c r="V12" s="33">
        <f t="shared" si="2"/>
        <v>1489.56</v>
      </c>
      <c r="W12" s="36">
        <f t="shared" si="7"/>
        <v>0</v>
      </c>
      <c r="X12" s="33">
        <f t="shared" si="3"/>
        <v>1489.56</v>
      </c>
      <c r="Y12" s="33" t="str">
        <f t="shared" si="4"/>
        <v>Karl Gallagher</v>
      </c>
      <c r="Z12" s="33" t="str">
        <f t="shared" si="5"/>
        <v>Intime</v>
      </c>
      <c r="AA12" s="33" t="str">
        <f t="shared" si="6"/>
        <v>rediffmail.com</v>
      </c>
    </row>
    <row r="13" spans="1:27" ht="14.25" customHeight="1" x14ac:dyDescent="0.3">
      <c r="A13" t="s">
        <v>119</v>
      </c>
      <c r="B13" t="s">
        <v>120</v>
      </c>
      <c r="C13" t="s">
        <v>121</v>
      </c>
      <c r="D13">
        <v>20</v>
      </c>
      <c r="E13" t="s">
        <v>29</v>
      </c>
      <c r="F13" t="s">
        <v>90</v>
      </c>
      <c r="G13" t="s">
        <v>122</v>
      </c>
      <c r="H13" t="s">
        <v>123</v>
      </c>
      <c r="I13" t="s">
        <v>124</v>
      </c>
      <c r="J13" s="8">
        <v>45498</v>
      </c>
      <c r="K13" t="s">
        <v>125</v>
      </c>
      <c r="L13" t="s">
        <v>126</v>
      </c>
      <c r="M13">
        <v>257.06</v>
      </c>
      <c r="N13">
        <v>3</v>
      </c>
      <c r="O13" t="s">
        <v>63</v>
      </c>
      <c r="P13">
        <v>7</v>
      </c>
      <c r="Q13">
        <v>62</v>
      </c>
      <c r="R13" s="8">
        <v>45499</v>
      </c>
      <c r="S13" t="s">
        <v>127</v>
      </c>
      <c r="T13" s="34">
        <f t="shared" si="0"/>
        <v>1</v>
      </c>
      <c r="U13" s="34">
        <f t="shared" si="1"/>
        <v>771.18000000000006</v>
      </c>
      <c r="V13" s="34">
        <f t="shared" si="2"/>
        <v>833.18000000000006</v>
      </c>
      <c r="W13" s="36">
        <f t="shared" si="7"/>
        <v>0</v>
      </c>
      <c r="X13" s="34">
        <f t="shared" si="3"/>
        <v>833.18000000000006</v>
      </c>
      <c r="Y13" s="34" t="str">
        <f t="shared" si="4"/>
        <v>Bobby Forbes</v>
      </c>
      <c r="Z13" s="34" t="str">
        <f t="shared" si="5"/>
        <v>BeforeTime</v>
      </c>
      <c r="AA13" s="34" t="str">
        <f t="shared" si="6"/>
        <v>gmail.com</v>
      </c>
    </row>
    <row r="14" spans="1:27" ht="14.25" customHeight="1" x14ac:dyDescent="0.3">
      <c r="A14" t="s">
        <v>128</v>
      </c>
      <c r="B14" t="s">
        <v>129</v>
      </c>
      <c r="C14" t="s">
        <v>130</v>
      </c>
      <c r="D14">
        <v>30</v>
      </c>
      <c r="E14" t="s">
        <v>41</v>
      </c>
      <c r="F14" t="s">
        <v>42</v>
      </c>
      <c r="G14" t="s">
        <v>131</v>
      </c>
      <c r="H14" t="s">
        <v>132</v>
      </c>
      <c r="I14" t="s">
        <v>133</v>
      </c>
      <c r="J14" s="8">
        <v>44997</v>
      </c>
      <c r="K14" t="s">
        <v>134</v>
      </c>
      <c r="L14" t="s">
        <v>135</v>
      </c>
      <c r="M14">
        <v>175.93</v>
      </c>
      <c r="N14">
        <v>4</v>
      </c>
      <c r="O14" t="s">
        <v>36</v>
      </c>
      <c r="P14">
        <v>3</v>
      </c>
      <c r="Q14">
        <v>65</v>
      </c>
      <c r="R14" s="8">
        <v>44999</v>
      </c>
      <c r="S14" t="s">
        <v>136</v>
      </c>
      <c r="T14" s="33">
        <f t="shared" si="0"/>
        <v>2</v>
      </c>
      <c r="U14" s="33">
        <f t="shared" si="1"/>
        <v>703.72</v>
      </c>
      <c r="V14" s="33">
        <f t="shared" si="2"/>
        <v>768.72</v>
      </c>
      <c r="W14" s="36">
        <f t="shared" si="7"/>
        <v>0.08</v>
      </c>
      <c r="X14" s="33">
        <f t="shared" si="3"/>
        <v>707.22240000000011</v>
      </c>
      <c r="Y14" s="33" t="str">
        <f t="shared" si="4"/>
        <v>Joseph Stewart</v>
      </c>
      <c r="Z14" s="33" t="str">
        <f t="shared" si="5"/>
        <v>BeforeTime</v>
      </c>
      <c r="AA14" s="33" t="str">
        <f t="shared" si="6"/>
        <v>yahoo.com</v>
      </c>
    </row>
    <row r="15" spans="1:27" ht="14.25" customHeight="1" x14ac:dyDescent="0.3">
      <c r="A15" t="s">
        <v>137</v>
      </c>
      <c r="B15" t="s">
        <v>138</v>
      </c>
      <c r="C15" t="s">
        <v>139</v>
      </c>
      <c r="D15">
        <v>25</v>
      </c>
      <c r="E15" t="s">
        <v>52</v>
      </c>
      <c r="F15" t="s">
        <v>140</v>
      </c>
      <c r="G15" t="s">
        <v>141</v>
      </c>
      <c r="H15" t="s">
        <v>142</v>
      </c>
      <c r="I15" t="s">
        <v>143</v>
      </c>
      <c r="J15" s="8">
        <v>45267</v>
      </c>
      <c r="K15" t="s">
        <v>144</v>
      </c>
      <c r="L15" t="s">
        <v>145</v>
      </c>
      <c r="M15">
        <v>190.1</v>
      </c>
      <c r="N15">
        <v>1</v>
      </c>
      <c r="O15" t="s">
        <v>63</v>
      </c>
      <c r="P15">
        <v>1</v>
      </c>
      <c r="Q15">
        <v>70</v>
      </c>
      <c r="R15" s="8">
        <v>45270</v>
      </c>
      <c r="S15" t="s">
        <v>146</v>
      </c>
      <c r="T15" s="34">
        <f t="shared" si="0"/>
        <v>3</v>
      </c>
      <c r="U15" s="34">
        <f t="shared" si="1"/>
        <v>190.1</v>
      </c>
      <c r="V15" s="34">
        <f t="shared" si="2"/>
        <v>260.10000000000002</v>
      </c>
      <c r="W15" s="36">
        <f t="shared" si="7"/>
        <v>0</v>
      </c>
      <c r="X15" s="34">
        <f t="shared" si="3"/>
        <v>260.10000000000002</v>
      </c>
      <c r="Y15" s="34" t="str">
        <f t="shared" si="4"/>
        <v>Kara Brennan</v>
      </c>
      <c r="Z15" s="34" t="str">
        <f t="shared" si="5"/>
        <v>Late</v>
      </c>
      <c r="AA15" s="34" t="str">
        <f t="shared" si="6"/>
        <v>outlook.com</v>
      </c>
    </row>
    <row r="16" spans="1:27" ht="14.25" customHeight="1" x14ac:dyDescent="0.3">
      <c r="A16" t="s">
        <v>147</v>
      </c>
      <c r="B16" t="s">
        <v>148</v>
      </c>
      <c r="C16" t="s">
        <v>149</v>
      </c>
      <c r="D16">
        <v>44</v>
      </c>
      <c r="E16" t="s">
        <v>41</v>
      </c>
      <c r="F16" t="s">
        <v>90</v>
      </c>
      <c r="G16" t="s">
        <v>150</v>
      </c>
      <c r="H16" t="s">
        <v>151</v>
      </c>
      <c r="I16" t="s">
        <v>152</v>
      </c>
      <c r="J16" s="8">
        <v>45377</v>
      </c>
      <c r="K16" t="s">
        <v>153</v>
      </c>
      <c r="L16" t="s">
        <v>154</v>
      </c>
      <c r="M16">
        <v>220.27</v>
      </c>
      <c r="N16">
        <v>2</v>
      </c>
      <c r="O16" t="s">
        <v>63</v>
      </c>
      <c r="P16">
        <v>3</v>
      </c>
      <c r="Q16">
        <v>39</v>
      </c>
      <c r="R16" s="8">
        <v>45382</v>
      </c>
      <c r="S16" t="s">
        <v>155</v>
      </c>
      <c r="T16" s="33">
        <f t="shared" si="0"/>
        <v>5</v>
      </c>
      <c r="U16" s="33">
        <f t="shared" si="1"/>
        <v>440.54</v>
      </c>
      <c r="V16" s="33">
        <f t="shared" si="2"/>
        <v>479.54</v>
      </c>
      <c r="W16" s="36">
        <f t="shared" si="7"/>
        <v>0</v>
      </c>
      <c r="X16" s="33">
        <f t="shared" si="3"/>
        <v>479.54</v>
      </c>
      <c r="Y16" s="33" t="str">
        <f t="shared" si="4"/>
        <v>Amy Reid</v>
      </c>
      <c r="Z16" s="33" t="str">
        <f t="shared" si="5"/>
        <v>Late</v>
      </c>
      <c r="AA16" s="33" t="str">
        <f t="shared" si="6"/>
        <v>rediffmail.com</v>
      </c>
    </row>
    <row r="17" spans="1:27" ht="14.25" customHeight="1" x14ac:dyDescent="0.3">
      <c r="A17" t="s">
        <v>156</v>
      </c>
      <c r="B17" t="s">
        <v>157</v>
      </c>
      <c r="C17" t="s">
        <v>158</v>
      </c>
      <c r="D17">
        <v>24</v>
      </c>
      <c r="E17" t="s">
        <v>29</v>
      </c>
      <c r="F17" t="s">
        <v>159</v>
      </c>
      <c r="G17" t="s">
        <v>160</v>
      </c>
      <c r="H17" t="s">
        <v>161</v>
      </c>
      <c r="I17" t="s">
        <v>162</v>
      </c>
      <c r="J17" s="8">
        <v>45079</v>
      </c>
      <c r="K17" t="s">
        <v>163</v>
      </c>
      <c r="L17" t="s">
        <v>81</v>
      </c>
      <c r="M17">
        <v>330.11</v>
      </c>
      <c r="N17">
        <v>4</v>
      </c>
      <c r="O17" t="s">
        <v>63</v>
      </c>
      <c r="P17">
        <v>1</v>
      </c>
      <c r="Q17">
        <v>58</v>
      </c>
      <c r="R17" s="8">
        <v>45080</v>
      </c>
      <c r="S17" t="s">
        <v>164</v>
      </c>
      <c r="T17" s="34">
        <f t="shared" si="0"/>
        <v>1</v>
      </c>
      <c r="U17" s="34">
        <f t="shared" si="1"/>
        <v>1320.44</v>
      </c>
      <c r="V17" s="34">
        <f t="shared" si="2"/>
        <v>1378.44</v>
      </c>
      <c r="W17" s="36">
        <f t="shared" si="7"/>
        <v>0</v>
      </c>
      <c r="X17" s="34">
        <f t="shared" si="3"/>
        <v>1378.44</v>
      </c>
      <c r="Y17" s="34" t="str">
        <f t="shared" si="4"/>
        <v>Joshua Campbell</v>
      </c>
      <c r="Z17" s="34" t="str">
        <f t="shared" si="5"/>
        <v>Intime</v>
      </c>
      <c r="AA17" s="34" t="str">
        <f t="shared" si="6"/>
        <v>gmail.com</v>
      </c>
    </row>
    <row r="18" spans="1:27" ht="14.25" customHeight="1" x14ac:dyDescent="0.3">
      <c r="A18" t="s">
        <v>165</v>
      </c>
      <c r="B18" t="s">
        <v>166</v>
      </c>
      <c r="C18" t="s">
        <v>167</v>
      </c>
      <c r="D18">
        <v>46</v>
      </c>
      <c r="E18" t="s">
        <v>29</v>
      </c>
      <c r="F18" t="s">
        <v>168</v>
      </c>
      <c r="G18" t="s">
        <v>169</v>
      </c>
      <c r="H18" t="s">
        <v>170</v>
      </c>
      <c r="I18" t="s">
        <v>171</v>
      </c>
      <c r="J18" s="8">
        <v>44966</v>
      </c>
      <c r="K18" t="s">
        <v>172</v>
      </c>
      <c r="L18" t="s">
        <v>173</v>
      </c>
      <c r="M18">
        <v>272.51</v>
      </c>
      <c r="N18">
        <v>4</v>
      </c>
      <c r="O18" t="s">
        <v>96</v>
      </c>
      <c r="P18">
        <v>5</v>
      </c>
      <c r="Q18">
        <v>40</v>
      </c>
      <c r="R18" s="8">
        <v>44970</v>
      </c>
      <c r="S18" t="s">
        <v>174</v>
      </c>
      <c r="T18" s="33">
        <f t="shared" si="0"/>
        <v>4</v>
      </c>
      <c r="U18" s="33">
        <f t="shared" si="1"/>
        <v>1090.04</v>
      </c>
      <c r="V18" s="33">
        <f t="shared" si="2"/>
        <v>1130.04</v>
      </c>
      <c r="W18" s="36">
        <f t="shared" si="7"/>
        <v>0.1</v>
      </c>
      <c r="X18" s="33">
        <f t="shared" si="3"/>
        <v>1017.0359999999999</v>
      </c>
      <c r="Y18" s="33" t="str">
        <f t="shared" si="4"/>
        <v>Erin Miller</v>
      </c>
      <c r="Z18" s="33" t="str">
        <f t="shared" si="5"/>
        <v>BeforeTime</v>
      </c>
      <c r="AA18" s="33" t="str">
        <f t="shared" si="6"/>
        <v>gmail.com</v>
      </c>
    </row>
    <row r="19" spans="1:27" ht="14.25" customHeight="1" x14ac:dyDescent="0.3">
      <c r="A19" t="s">
        <v>175</v>
      </c>
      <c r="B19" t="s">
        <v>176</v>
      </c>
      <c r="C19" t="s">
        <v>177</v>
      </c>
      <c r="D19">
        <v>36</v>
      </c>
      <c r="E19" t="s">
        <v>52</v>
      </c>
      <c r="F19" t="s">
        <v>140</v>
      </c>
      <c r="G19" t="s">
        <v>178</v>
      </c>
      <c r="H19" t="s">
        <v>179</v>
      </c>
      <c r="I19" t="s">
        <v>180</v>
      </c>
      <c r="J19" s="8">
        <v>45542</v>
      </c>
      <c r="K19" t="s">
        <v>181</v>
      </c>
      <c r="L19" t="s">
        <v>182</v>
      </c>
      <c r="M19">
        <v>104.18</v>
      </c>
      <c r="N19">
        <v>2</v>
      </c>
      <c r="O19" t="s">
        <v>63</v>
      </c>
      <c r="P19">
        <v>4</v>
      </c>
      <c r="Q19">
        <v>44</v>
      </c>
      <c r="R19" s="8">
        <v>45545</v>
      </c>
      <c r="S19" t="s">
        <v>183</v>
      </c>
      <c r="T19" s="34">
        <f t="shared" si="0"/>
        <v>3</v>
      </c>
      <c r="U19" s="34">
        <f t="shared" si="1"/>
        <v>208.36</v>
      </c>
      <c r="V19" s="34">
        <f t="shared" si="2"/>
        <v>252.36</v>
      </c>
      <c r="W19" s="36">
        <f t="shared" si="7"/>
        <v>0</v>
      </c>
      <c r="X19" s="34">
        <f t="shared" si="3"/>
        <v>252.36</v>
      </c>
      <c r="Y19" s="34" t="str">
        <f t="shared" si="4"/>
        <v>Gina Moreno</v>
      </c>
      <c r="Z19" s="34" t="str">
        <f t="shared" si="5"/>
        <v>BeforeTime</v>
      </c>
      <c r="AA19" s="34" t="str">
        <f t="shared" si="6"/>
        <v>rediffmail.com</v>
      </c>
    </row>
    <row r="20" spans="1:27" ht="14.25" customHeight="1" x14ac:dyDescent="0.3">
      <c r="A20" t="s">
        <v>184</v>
      </c>
      <c r="B20" t="s">
        <v>185</v>
      </c>
      <c r="C20" t="s">
        <v>186</v>
      </c>
      <c r="D20">
        <v>42</v>
      </c>
      <c r="E20" t="s">
        <v>41</v>
      </c>
      <c r="F20" t="s">
        <v>168</v>
      </c>
      <c r="G20" t="s">
        <v>187</v>
      </c>
      <c r="H20" t="s">
        <v>188</v>
      </c>
      <c r="I20" t="s">
        <v>189</v>
      </c>
      <c r="J20" s="8">
        <v>45665</v>
      </c>
      <c r="K20" t="s">
        <v>190</v>
      </c>
      <c r="L20" t="s">
        <v>114</v>
      </c>
      <c r="M20">
        <v>48.45</v>
      </c>
      <c r="N20">
        <v>4</v>
      </c>
      <c r="O20" t="s">
        <v>96</v>
      </c>
      <c r="P20">
        <v>1</v>
      </c>
      <c r="Q20">
        <v>70</v>
      </c>
      <c r="R20" s="8">
        <v>45670</v>
      </c>
      <c r="S20" t="s">
        <v>191</v>
      </c>
      <c r="T20" s="33">
        <f t="shared" si="0"/>
        <v>5</v>
      </c>
      <c r="U20" s="33">
        <f t="shared" si="1"/>
        <v>193.8</v>
      </c>
      <c r="V20" s="33">
        <f t="shared" si="2"/>
        <v>263.8</v>
      </c>
      <c r="W20" s="36">
        <f t="shared" si="7"/>
        <v>0.1</v>
      </c>
      <c r="X20" s="33">
        <f t="shared" si="3"/>
        <v>237.42000000000002</v>
      </c>
      <c r="Y20" s="33" t="str">
        <f t="shared" si="4"/>
        <v>Mallory Mitchell</v>
      </c>
      <c r="Z20" s="33" t="str">
        <f t="shared" si="5"/>
        <v>Late</v>
      </c>
      <c r="AA20" s="33" t="str">
        <f t="shared" si="6"/>
        <v>yahoo.com</v>
      </c>
    </row>
    <row r="21" spans="1:27" ht="14.25" customHeight="1" x14ac:dyDescent="0.3">
      <c r="A21" t="s">
        <v>192</v>
      </c>
      <c r="B21" t="s">
        <v>193</v>
      </c>
      <c r="C21" t="s">
        <v>194</v>
      </c>
      <c r="D21">
        <v>34</v>
      </c>
      <c r="E21" t="s">
        <v>29</v>
      </c>
      <c r="F21" t="s">
        <v>90</v>
      </c>
      <c r="G21" t="s">
        <v>195</v>
      </c>
      <c r="H21" t="s">
        <v>196</v>
      </c>
      <c r="I21" t="s">
        <v>197</v>
      </c>
      <c r="J21" s="8">
        <v>45556</v>
      </c>
      <c r="K21" t="s">
        <v>198</v>
      </c>
      <c r="L21" t="s">
        <v>199</v>
      </c>
      <c r="M21">
        <v>20.7</v>
      </c>
      <c r="N21">
        <v>5</v>
      </c>
      <c r="O21" t="s">
        <v>63</v>
      </c>
      <c r="P21">
        <v>7</v>
      </c>
      <c r="Q21">
        <v>38</v>
      </c>
      <c r="R21" s="8">
        <v>45561</v>
      </c>
      <c r="S21" t="s">
        <v>200</v>
      </c>
      <c r="T21" s="34">
        <f t="shared" si="0"/>
        <v>5</v>
      </c>
      <c r="U21" s="34">
        <f t="shared" si="1"/>
        <v>103.5</v>
      </c>
      <c r="V21" s="34">
        <f t="shared" si="2"/>
        <v>141.5</v>
      </c>
      <c r="W21" s="36">
        <f t="shared" si="7"/>
        <v>0</v>
      </c>
      <c r="X21" s="34">
        <f t="shared" si="3"/>
        <v>141.5</v>
      </c>
      <c r="Y21" s="34" t="str">
        <f t="shared" si="4"/>
        <v>Traci Jones</v>
      </c>
      <c r="Z21" s="34" t="str">
        <f t="shared" si="5"/>
        <v>BeforeTime</v>
      </c>
      <c r="AA21" s="34" t="str">
        <f t="shared" si="6"/>
        <v>yahoo.com</v>
      </c>
    </row>
    <row r="22" spans="1:27" ht="14.25" customHeight="1" x14ac:dyDescent="0.3">
      <c r="A22" t="s">
        <v>201</v>
      </c>
      <c r="B22" t="s">
        <v>202</v>
      </c>
      <c r="C22" t="s">
        <v>203</v>
      </c>
      <c r="D22">
        <v>23</v>
      </c>
      <c r="E22" t="s">
        <v>29</v>
      </c>
      <c r="F22" t="s">
        <v>90</v>
      </c>
      <c r="G22" t="s">
        <v>204</v>
      </c>
      <c r="H22" t="s">
        <v>205</v>
      </c>
      <c r="I22" t="s">
        <v>206</v>
      </c>
      <c r="J22" s="8">
        <v>45520</v>
      </c>
      <c r="K22" t="s">
        <v>207</v>
      </c>
      <c r="L22" t="s">
        <v>35</v>
      </c>
      <c r="M22">
        <v>308.88</v>
      </c>
      <c r="N22">
        <v>3</v>
      </c>
      <c r="O22" t="s">
        <v>96</v>
      </c>
      <c r="P22">
        <v>7</v>
      </c>
      <c r="Q22">
        <v>43</v>
      </c>
      <c r="R22" s="8">
        <v>45521</v>
      </c>
      <c r="S22" t="s">
        <v>208</v>
      </c>
      <c r="T22" s="33">
        <f t="shared" si="0"/>
        <v>1</v>
      </c>
      <c r="U22" s="33">
        <f t="shared" si="1"/>
        <v>926.64</v>
      </c>
      <c r="V22" s="33">
        <f t="shared" si="2"/>
        <v>969.64</v>
      </c>
      <c r="W22" s="36">
        <f t="shared" si="7"/>
        <v>0.1</v>
      </c>
      <c r="X22" s="33">
        <f t="shared" si="3"/>
        <v>872.67600000000004</v>
      </c>
      <c r="Y22" s="33" t="str">
        <f t="shared" si="4"/>
        <v>Deborah Bates</v>
      </c>
      <c r="Z22" s="33" t="str">
        <f t="shared" si="5"/>
        <v>BeforeTime</v>
      </c>
      <c r="AA22" s="33" t="str">
        <f t="shared" si="6"/>
        <v>yahoo.com</v>
      </c>
    </row>
    <row r="23" spans="1:27" ht="14.25" customHeight="1" x14ac:dyDescent="0.3">
      <c r="A23" t="s">
        <v>209</v>
      </c>
      <c r="B23" t="s">
        <v>210</v>
      </c>
      <c r="C23" t="s">
        <v>211</v>
      </c>
      <c r="D23">
        <v>39</v>
      </c>
      <c r="E23" t="s">
        <v>41</v>
      </c>
      <c r="F23" t="s">
        <v>159</v>
      </c>
      <c r="G23" t="s">
        <v>212</v>
      </c>
      <c r="H23" t="s">
        <v>213</v>
      </c>
      <c r="I23" t="s">
        <v>214</v>
      </c>
      <c r="J23" s="8">
        <v>45352</v>
      </c>
      <c r="K23" t="s">
        <v>215</v>
      </c>
      <c r="L23" t="s">
        <v>182</v>
      </c>
      <c r="M23">
        <v>104.18</v>
      </c>
      <c r="N23">
        <v>5</v>
      </c>
      <c r="O23" t="s">
        <v>36</v>
      </c>
      <c r="P23">
        <v>5</v>
      </c>
      <c r="Q23">
        <v>58</v>
      </c>
      <c r="R23" s="8">
        <v>45356</v>
      </c>
      <c r="S23" t="s">
        <v>216</v>
      </c>
      <c r="T23" s="34">
        <f t="shared" si="0"/>
        <v>4</v>
      </c>
      <c r="U23" s="34">
        <f t="shared" si="1"/>
        <v>520.90000000000009</v>
      </c>
      <c r="V23" s="34">
        <f t="shared" si="2"/>
        <v>578.90000000000009</v>
      </c>
      <c r="W23" s="36">
        <f t="shared" si="7"/>
        <v>0.08</v>
      </c>
      <c r="X23" s="34">
        <f t="shared" si="3"/>
        <v>532.58800000000008</v>
      </c>
      <c r="Y23" s="34" t="str">
        <f t="shared" si="4"/>
        <v>Christian Clayton</v>
      </c>
      <c r="Z23" s="34" t="str">
        <f t="shared" si="5"/>
        <v>BeforeTime</v>
      </c>
      <c r="AA23" s="34" t="str">
        <f t="shared" si="6"/>
        <v>yahoo.com</v>
      </c>
    </row>
    <row r="24" spans="1:27" ht="14.25" customHeight="1" x14ac:dyDescent="0.3">
      <c r="A24" t="s">
        <v>217</v>
      </c>
      <c r="B24" t="s">
        <v>218</v>
      </c>
      <c r="C24" t="s">
        <v>219</v>
      </c>
      <c r="D24">
        <v>33</v>
      </c>
      <c r="E24" t="s">
        <v>52</v>
      </c>
      <c r="F24" t="s">
        <v>220</v>
      </c>
      <c r="G24" t="s">
        <v>221</v>
      </c>
      <c r="H24" t="s">
        <v>222</v>
      </c>
      <c r="I24" t="s">
        <v>223</v>
      </c>
      <c r="J24" s="8">
        <v>45125</v>
      </c>
      <c r="K24" t="s">
        <v>224</v>
      </c>
      <c r="L24" t="s">
        <v>225</v>
      </c>
      <c r="M24">
        <v>461.07</v>
      </c>
      <c r="N24">
        <v>1</v>
      </c>
      <c r="O24" t="s">
        <v>36</v>
      </c>
      <c r="P24">
        <v>1</v>
      </c>
      <c r="Q24">
        <v>56</v>
      </c>
      <c r="R24" s="8">
        <v>45126</v>
      </c>
      <c r="S24" t="s">
        <v>226</v>
      </c>
      <c r="T24" s="33">
        <f t="shared" si="0"/>
        <v>1</v>
      </c>
      <c r="U24" s="33">
        <f t="shared" si="1"/>
        <v>461.07</v>
      </c>
      <c r="V24" s="33">
        <f t="shared" si="2"/>
        <v>517.06999999999994</v>
      </c>
      <c r="W24" s="36">
        <f t="shared" si="7"/>
        <v>0.08</v>
      </c>
      <c r="X24" s="33">
        <f t="shared" si="3"/>
        <v>475.70439999999996</v>
      </c>
      <c r="Y24" s="33" t="str">
        <f t="shared" si="4"/>
        <v>Mark Henderson</v>
      </c>
      <c r="Z24" s="33" t="str">
        <f t="shared" si="5"/>
        <v>Intime</v>
      </c>
      <c r="AA24" s="33" t="str">
        <f t="shared" si="6"/>
        <v>yahoo.com</v>
      </c>
    </row>
    <row r="25" spans="1:27" ht="14.25" customHeight="1" x14ac:dyDescent="0.3">
      <c r="A25" t="s">
        <v>227</v>
      </c>
      <c r="B25" t="s">
        <v>228</v>
      </c>
      <c r="C25" t="s">
        <v>229</v>
      </c>
      <c r="D25">
        <v>64</v>
      </c>
      <c r="E25" t="s">
        <v>41</v>
      </c>
      <c r="F25" t="s">
        <v>42</v>
      </c>
      <c r="G25" t="s">
        <v>230</v>
      </c>
      <c r="H25" t="s">
        <v>231</v>
      </c>
      <c r="I25" t="s">
        <v>232</v>
      </c>
      <c r="J25" s="8">
        <v>45194</v>
      </c>
      <c r="K25" t="s">
        <v>233</v>
      </c>
      <c r="L25" t="s">
        <v>234</v>
      </c>
      <c r="M25">
        <v>132.97</v>
      </c>
      <c r="N25">
        <v>1</v>
      </c>
      <c r="O25" t="s">
        <v>58</v>
      </c>
      <c r="P25">
        <v>4</v>
      </c>
      <c r="Q25">
        <v>55</v>
      </c>
      <c r="R25" s="8">
        <v>45198</v>
      </c>
      <c r="S25" t="s">
        <v>235</v>
      </c>
      <c r="T25" s="34">
        <f t="shared" si="0"/>
        <v>4</v>
      </c>
      <c r="U25" s="34">
        <f t="shared" si="1"/>
        <v>132.97</v>
      </c>
      <c r="V25" s="34">
        <f t="shared" si="2"/>
        <v>187.97</v>
      </c>
      <c r="W25" s="36">
        <f t="shared" si="7"/>
        <v>0.15</v>
      </c>
      <c r="X25" s="34">
        <f t="shared" si="3"/>
        <v>159.77449999999999</v>
      </c>
      <c r="Y25" s="34" t="str">
        <f t="shared" si="4"/>
        <v>John Herrera</v>
      </c>
      <c r="Z25" s="34" t="str">
        <f t="shared" si="5"/>
        <v>Intime</v>
      </c>
      <c r="AA25" s="34" t="str">
        <f t="shared" si="6"/>
        <v>outlook.com</v>
      </c>
    </row>
    <row r="26" spans="1:27" ht="14.25" customHeight="1" x14ac:dyDescent="0.3">
      <c r="A26" t="s">
        <v>236</v>
      </c>
      <c r="B26" t="s">
        <v>66</v>
      </c>
      <c r="C26" t="s">
        <v>237</v>
      </c>
      <c r="D26">
        <v>52</v>
      </c>
      <c r="E26" t="s">
        <v>52</v>
      </c>
      <c r="F26" t="s">
        <v>42</v>
      </c>
      <c r="G26" t="s">
        <v>238</v>
      </c>
      <c r="H26" t="s">
        <v>239</v>
      </c>
      <c r="I26" t="s">
        <v>240</v>
      </c>
      <c r="J26" s="8">
        <v>45146</v>
      </c>
      <c r="K26" t="s">
        <v>241</v>
      </c>
      <c r="L26" t="s">
        <v>242</v>
      </c>
      <c r="M26">
        <v>126.19</v>
      </c>
      <c r="N26">
        <v>2</v>
      </c>
      <c r="O26" t="s">
        <v>63</v>
      </c>
      <c r="P26">
        <v>3</v>
      </c>
      <c r="Q26">
        <v>63</v>
      </c>
      <c r="R26" s="8">
        <v>45150</v>
      </c>
      <c r="S26" t="s">
        <v>243</v>
      </c>
      <c r="T26" s="33">
        <f t="shared" si="0"/>
        <v>4</v>
      </c>
      <c r="U26" s="33">
        <f t="shared" si="1"/>
        <v>252.38</v>
      </c>
      <c r="V26" s="33">
        <f t="shared" si="2"/>
        <v>315.38</v>
      </c>
      <c r="W26" s="36">
        <f t="shared" si="7"/>
        <v>0</v>
      </c>
      <c r="X26" s="33">
        <f t="shared" si="3"/>
        <v>315.38</v>
      </c>
      <c r="Y26" s="33" t="str">
        <f t="shared" si="4"/>
        <v>Angela Evans</v>
      </c>
      <c r="Z26" s="33" t="str">
        <f t="shared" si="5"/>
        <v>Late</v>
      </c>
      <c r="AA26" s="33" t="str">
        <f t="shared" si="6"/>
        <v>outlook.com</v>
      </c>
    </row>
    <row r="27" spans="1:27" ht="14.25" customHeight="1" x14ac:dyDescent="0.3">
      <c r="A27" t="s">
        <v>236</v>
      </c>
      <c r="B27" t="s">
        <v>66</v>
      </c>
      <c r="C27" t="s">
        <v>237</v>
      </c>
      <c r="D27">
        <v>52</v>
      </c>
      <c r="E27" t="s">
        <v>52</v>
      </c>
      <c r="F27" t="s">
        <v>42</v>
      </c>
      <c r="G27" t="s">
        <v>238</v>
      </c>
      <c r="H27" t="s">
        <v>239</v>
      </c>
      <c r="I27" t="s">
        <v>244</v>
      </c>
      <c r="J27" s="8">
        <v>45138</v>
      </c>
      <c r="K27" t="s">
        <v>245</v>
      </c>
      <c r="L27" t="s">
        <v>246</v>
      </c>
      <c r="M27">
        <v>282.63</v>
      </c>
      <c r="N27">
        <v>3</v>
      </c>
      <c r="O27" t="s">
        <v>63</v>
      </c>
      <c r="P27">
        <v>2</v>
      </c>
      <c r="Q27">
        <v>40</v>
      </c>
      <c r="R27" s="8">
        <v>45142</v>
      </c>
      <c r="S27" t="s">
        <v>247</v>
      </c>
      <c r="T27" s="34">
        <f t="shared" si="0"/>
        <v>4</v>
      </c>
      <c r="U27" s="34">
        <f t="shared" si="1"/>
        <v>847.89</v>
      </c>
      <c r="V27" s="34">
        <f t="shared" si="2"/>
        <v>887.89</v>
      </c>
      <c r="W27" s="36">
        <f t="shared" si="7"/>
        <v>0</v>
      </c>
      <c r="X27" s="34">
        <f t="shared" si="3"/>
        <v>887.89</v>
      </c>
      <c r="Y27" s="34" t="str">
        <f t="shared" si="4"/>
        <v>Angela Evans</v>
      </c>
      <c r="Z27" s="34" t="str">
        <f t="shared" si="5"/>
        <v>Late</v>
      </c>
      <c r="AA27" s="34" t="str">
        <f t="shared" si="6"/>
        <v>outlook.com</v>
      </c>
    </row>
    <row r="28" spans="1:27" ht="14.25" customHeight="1" x14ac:dyDescent="0.3">
      <c r="A28" t="s">
        <v>119</v>
      </c>
      <c r="B28" t="s">
        <v>120</v>
      </c>
      <c r="C28" t="s">
        <v>121</v>
      </c>
      <c r="D28">
        <v>20</v>
      </c>
      <c r="E28" t="s">
        <v>29</v>
      </c>
      <c r="F28" t="s">
        <v>90</v>
      </c>
      <c r="G28" t="s">
        <v>122</v>
      </c>
      <c r="H28" t="s">
        <v>123</v>
      </c>
      <c r="I28" t="s">
        <v>248</v>
      </c>
      <c r="J28" s="8">
        <v>45066</v>
      </c>
      <c r="K28" t="s">
        <v>249</v>
      </c>
      <c r="L28" t="s">
        <v>250</v>
      </c>
      <c r="M28">
        <v>128.13999999999999</v>
      </c>
      <c r="N28">
        <v>3</v>
      </c>
      <c r="O28" t="s">
        <v>36</v>
      </c>
      <c r="P28">
        <v>4</v>
      </c>
      <c r="Q28">
        <v>70</v>
      </c>
      <c r="R28" s="8">
        <v>45069</v>
      </c>
      <c r="S28" t="s">
        <v>251</v>
      </c>
      <c r="T28" s="33">
        <f t="shared" si="0"/>
        <v>3</v>
      </c>
      <c r="U28" s="33">
        <f t="shared" si="1"/>
        <v>384.41999999999996</v>
      </c>
      <c r="V28" s="33">
        <f t="shared" si="2"/>
        <v>454.41999999999996</v>
      </c>
      <c r="W28" s="36">
        <f t="shared" si="7"/>
        <v>0.08</v>
      </c>
      <c r="X28" s="33">
        <f t="shared" si="3"/>
        <v>418.06639999999999</v>
      </c>
      <c r="Y28" s="33" t="str">
        <f t="shared" si="4"/>
        <v>Bobby Forbes</v>
      </c>
      <c r="Z28" s="33" t="str">
        <f t="shared" si="5"/>
        <v>BeforeTime</v>
      </c>
      <c r="AA28" s="33" t="str">
        <f t="shared" si="6"/>
        <v>gmail.com</v>
      </c>
    </row>
    <row r="29" spans="1:27" ht="14.25" customHeight="1" x14ac:dyDescent="0.3">
      <c r="A29" t="s">
        <v>119</v>
      </c>
      <c r="B29" t="s">
        <v>120</v>
      </c>
      <c r="C29" t="s">
        <v>121</v>
      </c>
      <c r="D29">
        <v>20</v>
      </c>
      <c r="E29" t="s">
        <v>29</v>
      </c>
      <c r="F29" t="s">
        <v>90</v>
      </c>
      <c r="G29" t="s">
        <v>122</v>
      </c>
      <c r="H29" t="s">
        <v>123</v>
      </c>
      <c r="I29" t="s">
        <v>252</v>
      </c>
      <c r="J29" s="8">
        <v>45185</v>
      </c>
      <c r="K29" t="s">
        <v>253</v>
      </c>
      <c r="L29" t="s">
        <v>95</v>
      </c>
      <c r="M29">
        <v>363.64</v>
      </c>
      <c r="N29">
        <v>3</v>
      </c>
      <c r="O29" t="s">
        <v>85</v>
      </c>
      <c r="P29">
        <v>5</v>
      </c>
      <c r="Q29">
        <v>39</v>
      </c>
      <c r="R29" s="8">
        <v>45189</v>
      </c>
      <c r="S29" t="s">
        <v>254</v>
      </c>
      <c r="T29" s="34">
        <f t="shared" si="0"/>
        <v>4</v>
      </c>
      <c r="U29" s="34">
        <f t="shared" si="1"/>
        <v>1090.92</v>
      </c>
      <c r="V29" s="34">
        <f t="shared" si="2"/>
        <v>1129.92</v>
      </c>
      <c r="W29" s="36">
        <f t="shared" si="7"/>
        <v>0.2</v>
      </c>
      <c r="X29" s="34">
        <f t="shared" si="3"/>
        <v>903.93600000000015</v>
      </c>
      <c r="Y29" s="34" t="str">
        <f t="shared" si="4"/>
        <v>Bobby Forbes</v>
      </c>
      <c r="Z29" s="34" t="str">
        <f t="shared" si="5"/>
        <v>BeforeTime</v>
      </c>
      <c r="AA29" s="34" t="str">
        <f t="shared" si="6"/>
        <v>gmail.com</v>
      </c>
    </row>
    <row r="30" spans="1:27" ht="14.25" customHeight="1" x14ac:dyDescent="0.3">
      <c r="A30" t="s">
        <v>255</v>
      </c>
      <c r="B30" t="s">
        <v>256</v>
      </c>
      <c r="C30" t="s">
        <v>257</v>
      </c>
      <c r="D30">
        <v>60</v>
      </c>
      <c r="E30" t="s">
        <v>52</v>
      </c>
      <c r="F30" t="s">
        <v>30</v>
      </c>
      <c r="G30" t="s">
        <v>258</v>
      </c>
      <c r="H30" t="s">
        <v>259</v>
      </c>
      <c r="I30" t="s">
        <v>260</v>
      </c>
      <c r="J30" s="8">
        <v>44987</v>
      </c>
      <c r="K30" t="s">
        <v>261</v>
      </c>
      <c r="L30" t="s">
        <v>95</v>
      </c>
      <c r="M30">
        <v>363.64</v>
      </c>
      <c r="N30">
        <v>2</v>
      </c>
      <c r="O30" t="s">
        <v>58</v>
      </c>
      <c r="P30">
        <v>1</v>
      </c>
      <c r="Q30">
        <v>43</v>
      </c>
      <c r="R30" s="8">
        <v>44988</v>
      </c>
      <c r="S30" t="s">
        <v>262</v>
      </c>
      <c r="T30" s="33">
        <f t="shared" si="0"/>
        <v>1</v>
      </c>
      <c r="U30" s="33">
        <f t="shared" si="1"/>
        <v>727.28</v>
      </c>
      <c r="V30" s="33">
        <f t="shared" si="2"/>
        <v>770.28</v>
      </c>
      <c r="W30" s="36">
        <f t="shared" si="7"/>
        <v>0.15</v>
      </c>
      <c r="X30" s="33">
        <f t="shared" si="3"/>
        <v>654.73799999999994</v>
      </c>
      <c r="Y30" s="33" t="str">
        <f t="shared" si="4"/>
        <v>Ashley Rose</v>
      </c>
      <c r="Z30" s="33" t="str">
        <f t="shared" si="5"/>
        <v>Intime</v>
      </c>
      <c r="AA30" s="33" t="str">
        <f t="shared" si="6"/>
        <v>gmail.com</v>
      </c>
    </row>
    <row r="31" spans="1:27" ht="14.25" customHeight="1" x14ac:dyDescent="0.3">
      <c r="A31" t="s">
        <v>263</v>
      </c>
      <c r="B31" t="s">
        <v>264</v>
      </c>
      <c r="C31" t="s">
        <v>265</v>
      </c>
      <c r="D31">
        <v>54</v>
      </c>
      <c r="E31" t="s">
        <v>41</v>
      </c>
      <c r="F31" t="s">
        <v>30</v>
      </c>
      <c r="G31" t="s">
        <v>266</v>
      </c>
      <c r="H31" t="s">
        <v>267</v>
      </c>
      <c r="I31" t="s">
        <v>268</v>
      </c>
      <c r="J31" s="8">
        <v>45224</v>
      </c>
      <c r="K31" t="s">
        <v>269</v>
      </c>
      <c r="L31" t="s">
        <v>270</v>
      </c>
      <c r="M31">
        <v>62.42</v>
      </c>
      <c r="N31">
        <v>1</v>
      </c>
      <c r="O31" t="s">
        <v>63</v>
      </c>
      <c r="P31">
        <v>3</v>
      </c>
      <c r="Q31">
        <v>58</v>
      </c>
      <c r="R31" s="8">
        <v>45229</v>
      </c>
      <c r="S31" t="s">
        <v>271</v>
      </c>
      <c r="T31" s="34">
        <f t="shared" si="0"/>
        <v>5</v>
      </c>
      <c r="U31" s="34">
        <f t="shared" si="1"/>
        <v>62.42</v>
      </c>
      <c r="V31" s="34">
        <f t="shared" si="2"/>
        <v>120.42</v>
      </c>
      <c r="W31" s="36">
        <f t="shared" si="7"/>
        <v>0</v>
      </c>
      <c r="X31" s="34">
        <f t="shared" si="3"/>
        <v>120.42</v>
      </c>
      <c r="Y31" s="34" t="str">
        <f t="shared" si="4"/>
        <v>Taylor Davis</v>
      </c>
      <c r="Z31" s="34" t="str">
        <f t="shared" si="5"/>
        <v>Late</v>
      </c>
      <c r="AA31" s="34" t="str">
        <f t="shared" si="6"/>
        <v>yahoo.com</v>
      </c>
    </row>
    <row r="32" spans="1:27" ht="14.25" customHeight="1" x14ac:dyDescent="0.3">
      <c r="A32" t="s">
        <v>272</v>
      </c>
      <c r="B32" t="s">
        <v>273</v>
      </c>
      <c r="C32" t="s">
        <v>274</v>
      </c>
      <c r="D32">
        <v>44</v>
      </c>
      <c r="E32" t="s">
        <v>29</v>
      </c>
      <c r="F32" t="s">
        <v>220</v>
      </c>
      <c r="G32" t="s">
        <v>275</v>
      </c>
      <c r="H32" t="s">
        <v>276</v>
      </c>
      <c r="I32" t="s">
        <v>277</v>
      </c>
      <c r="J32" s="8">
        <v>45389</v>
      </c>
      <c r="K32" t="s">
        <v>278</v>
      </c>
      <c r="L32" t="s">
        <v>234</v>
      </c>
      <c r="M32">
        <v>132.97</v>
      </c>
      <c r="N32">
        <v>1</v>
      </c>
      <c r="O32" t="s">
        <v>63</v>
      </c>
      <c r="P32">
        <v>6</v>
      </c>
      <c r="Q32">
        <v>57</v>
      </c>
      <c r="R32" s="8">
        <v>45396</v>
      </c>
      <c r="S32" t="s">
        <v>279</v>
      </c>
      <c r="T32" s="33">
        <f t="shared" si="0"/>
        <v>7</v>
      </c>
      <c r="U32" s="33">
        <f t="shared" si="1"/>
        <v>132.97</v>
      </c>
      <c r="V32" s="33">
        <f t="shared" si="2"/>
        <v>189.97</v>
      </c>
      <c r="W32" s="36">
        <f t="shared" si="7"/>
        <v>0</v>
      </c>
      <c r="X32" s="33">
        <f t="shared" si="3"/>
        <v>189.97</v>
      </c>
      <c r="Y32" s="33" t="str">
        <f t="shared" si="4"/>
        <v>Lauren Long</v>
      </c>
      <c r="Z32" s="33" t="str">
        <f t="shared" si="5"/>
        <v>Late</v>
      </c>
      <c r="AA32" s="33" t="str">
        <f t="shared" si="6"/>
        <v>gmail.com</v>
      </c>
    </row>
    <row r="33" spans="1:27" ht="14.25" customHeight="1" x14ac:dyDescent="0.3">
      <c r="A33" t="s">
        <v>280</v>
      </c>
      <c r="B33" t="s">
        <v>281</v>
      </c>
      <c r="C33" t="s">
        <v>282</v>
      </c>
      <c r="D33">
        <v>64</v>
      </c>
      <c r="E33" t="s">
        <v>52</v>
      </c>
      <c r="F33" t="s">
        <v>30</v>
      </c>
      <c r="G33" t="s">
        <v>283</v>
      </c>
      <c r="H33" t="s">
        <v>284</v>
      </c>
      <c r="I33" t="s">
        <v>285</v>
      </c>
      <c r="J33" s="8">
        <v>45039</v>
      </c>
      <c r="K33" t="s">
        <v>286</v>
      </c>
      <c r="L33" t="s">
        <v>287</v>
      </c>
      <c r="M33">
        <v>157.63999999999999</v>
      </c>
      <c r="N33">
        <v>4</v>
      </c>
      <c r="O33" t="s">
        <v>85</v>
      </c>
      <c r="P33">
        <v>7</v>
      </c>
      <c r="Q33">
        <v>59</v>
      </c>
      <c r="R33" s="8">
        <v>45046</v>
      </c>
      <c r="S33" t="s">
        <v>288</v>
      </c>
      <c r="T33" s="34">
        <f t="shared" si="0"/>
        <v>7</v>
      </c>
      <c r="U33" s="34">
        <f t="shared" si="1"/>
        <v>630.55999999999995</v>
      </c>
      <c r="V33" s="34">
        <f t="shared" si="2"/>
        <v>689.56</v>
      </c>
      <c r="W33" s="36">
        <f t="shared" si="7"/>
        <v>0.2</v>
      </c>
      <c r="X33" s="34">
        <f t="shared" si="3"/>
        <v>551.64800000000002</v>
      </c>
      <c r="Y33" s="34" t="str">
        <f t="shared" si="4"/>
        <v>Teresa Harvey</v>
      </c>
      <c r="Z33" s="34" t="str">
        <f t="shared" si="5"/>
        <v>Intime</v>
      </c>
      <c r="AA33" s="34" t="str">
        <f t="shared" si="6"/>
        <v>gmail.com</v>
      </c>
    </row>
    <row r="34" spans="1:27" ht="14.25" customHeight="1" x14ac:dyDescent="0.3">
      <c r="A34" t="s">
        <v>272</v>
      </c>
      <c r="B34" t="s">
        <v>273</v>
      </c>
      <c r="C34" t="s">
        <v>274</v>
      </c>
      <c r="D34">
        <v>44</v>
      </c>
      <c r="E34" t="s">
        <v>29</v>
      </c>
      <c r="F34" t="s">
        <v>220</v>
      </c>
      <c r="G34" t="s">
        <v>275</v>
      </c>
      <c r="H34" t="s">
        <v>276</v>
      </c>
      <c r="I34" t="s">
        <v>289</v>
      </c>
      <c r="J34" s="8">
        <v>45548</v>
      </c>
      <c r="K34" t="s">
        <v>290</v>
      </c>
      <c r="L34" t="s">
        <v>291</v>
      </c>
      <c r="M34">
        <v>158.53</v>
      </c>
      <c r="N34">
        <v>5</v>
      </c>
      <c r="O34" t="s">
        <v>85</v>
      </c>
      <c r="P34">
        <v>3</v>
      </c>
      <c r="Q34">
        <v>42</v>
      </c>
      <c r="R34" s="8">
        <v>45553</v>
      </c>
      <c r="S34" t="s">
        <v>292</v>
      </c>
      <c r="T34" s="33">
        <f t="shared" si="0"/>
        <v>5</v>
      </c>
      <c r="U34" s="33">
        <f t="shared" si="1"/>
        <v>792.65</v>
      </c>
      <c r="V34" s="33">
        <f t="shared" si="2"/>
        <v>834.65</v>
      </c>
      <c r="W34" s="36">
        <f t="shared" si="7"/>
        <v>0.2</v>
      </c>
      <c r="X34" s="33">
        <f t="shared" si="3"/>
        <v>667.72</v>
      </c>
      <c r="Y34" s="33" t="str">
        <f t="shared" si="4"/>
        <v>Lauren Long</v>
      </c>
      <c r="Z34" s="33" t="str">
        <f t="shared" si="5"/>
        <v>Late</v>
      </c>
      <c r="AA34" s="33" t="str">
        <f t="shared" si="6"/>
        <v>gmail.com</v>
      </c>
    </row>
    <row r="35" spans="1:27" ht="14.25" customHeight="1" x14ac:dyDescent="0.3">
      <c r="A35" t="s">
        <v>293</v>
      </c>
      <c r="B35" t="s">
        <v>294</v>
      </c>
      <c r="C35" t="s">
        <v>295</v>
      </c>
      <c r="D35">
        <v>48</v>
      </c>
      <c r="E35" t="s">
        <v>41</v>
      </c>
      <c r="F35" t="s">
        <v>90</v>
      </c>
      <c r="G35" t="s">
        <v>296</v>
      </c>
      <c r="H35" t="s">
        <v>297</v>
      </c>
      <c r="I35" t="s">
        <v>298</v>
      </c>
      <c r="J35" s="8">
        <v>45407</v>
      </c>
      <c r="K35" t="s">
        <v>299</v>
      </c>
      <c r="L35" t="s">
        <v>270</v>
      </c>
      <c r="M35">
        <v>62.42</v>
      </c>
      <c r="N35">
        <v>3</v>
      </c>
      <c r="O35" t="s">
        <v>36</v>
      </c>
      <c r="P35">
        <v>4</v>
      </c>
      <c r="Q35">
        <v>36</v>
      </c>
      <c r="R35" s="8">
        <v>45414</v>
      </c>
      <c r="S35" t="s">
        <v>300</v>
      </c>
      <c r="T35" s="34">
        <f t="shared" si="0"/>
        <v>7</v>
      </c>
      <c r="U35" s="34">
        <f t="shared" si="1"/>
        <v>187.26</v>
      </c>
      <c r="V35" s="34">
        <f t="shared" si="2"/>
        <v>223.26</v>
      </c>
      <c r="W35" s="36">
        <f t="shared" si="7"/>
        <v>0.08</v>
      </c>
      <c r="X35" s="34">
        <f t="shared" si="3"/>
        <v>205.39920000000001</v>
      </c>
      <c r="Y35" s="34" t="str">
        <f t="shared" si="4"/>
        <v>Heather Schneider</v>
      </c>
      <c r="Z35" s="34" t="str">
        <f t="shared" si="5"/>
        <v>Late</v>
      </c>
      <c r="AA35" s="34" t="str">
        <f t="shared" si="6"/>
        <v>outlook.com</v>
      </c>
    </row>
    <row r="36" spans="1:27" ht="14.25" customHeight="1" x14ac:dyDescent="0.3">
      <c r="A36" t="s">
        <v>301</v>
      </c>
      <c r="B36" t="s">
        <v>302</v>
      </c>
      <c r="C36" t="s">
        <v>303</v>
      </c>
      <c r="D36">
        <v>26</v>
      </c>
      <c r="E36" t="s">
        <v>52</v>
      </c>
      <c r="F36" t="s">
        <v>168</v>
      </c>
      <c r="G36" t="s">
        <v>304</v>
      </c>
      <c r="H36" t="s">
        <v>305</v>
      </c>
      <c r="I36" t="s">
        <v>306</v>
      </c>
      <c r="J36" s="8">
        <v>45168</v>
      </c>
      <c r="K36" t="s">
        <v>307</v>
      </c>
      <c r="L36" t="s">
        <v>308</v>
      </c>
      <c r="M36">
        <v>129.75</v>
      </c>
      <c r="N36">
        <v>1</v>
      </c>
      <c r="O36" t="s">
        <v>96</v>
      </c>
      <c r="P36">
        <v>5</v>
      </c>
      <c r="Q36">
        <v>70</v>
      </c>
      <c r="R36" s="8">
        <v>45172</v>
      </c>
      <c r="S36" t="s">
        <v>309</v>
      </c>
      <c r="T36" s="33">
        <f t="shared" si="0"/>
        <v>4</v>
      </c>
      <c r="U36" s="33">
        <f t="shared" si="1"/>
        <v>129.75</v>
      </c>
      <c r="V36" s="33">
        <f t="shared" si="2"/>
        <v>199.75</v>
      </c>
      <c r="W36" s="36">
        <f t="shared" si="7"/>
        <v>0.1</v>
      </c>
      <c r="X36" s="33">
        <f t="shared" si="3"/>
        <v>179.77500000000001</v>
      </c>
      <c r="Y36" s="33" t="str">
        <f t="shared" si="4"/>
        <v>Valerie Carr</v>
      </c>
      <c r="Z36" s="33" t="str">
        <f t="shared" si="5"/>
        <v>BeforeTime</v>
      </c>
      <c r="AA36" s="33" t="str">
        <f t="shared" si="6"/>
        <v>rediffmail.com</v>
      </c>
    </row>
    <row r="37" spans="1:27" ht="14.25" customHeight="1" x14ac:dyDescent="0.3">
      <c r="A37" t="s">
        <v>236</v>
      </c>
      <c r="B37" t="s">
        <v>66</v>
      </c>
      <c r="C37" t="s">
        <v>237</v>
      </c>
      <c r="D37">
        <v>52</v>
      </c>
      <c r="E37" t="s">
        <v>52</v>
      </c>
      <c r="F37" t="s">
        <v>42</v>
      </c>
      <c r="G37" t="s">
        <v>238</v>
      </c>
      <c r="H37" t="s">
        <v>239</v>
      </c>
      <c r="I37" t="s">
        <v>310</v>
      </c>
      <c r="J37" s="8">
        <v>45244</v>
      </c>
      <c r="K37" t="s">
        <v>311</v>
      </c>
      <c r="L37" t="s">
        <v>287</v>
      </c>
      <c r="M37">
        <v>157.63999999999999</v>
      </c>
      <c r="N37">
        <v>5</v>
      </c>
      <c r="O37" t="s">
        <v>36</v>
      </c>
      <c r="P37">
        <v>4</v>
      </c>
      <c r="Q37">
        <v>53</v>
      </c>
      <c r="R37" s="8">
        <v>45246</v>
      </c>
      <c r="S37" t="s">
        <v>312</v>
      </c>
      <c r="T37" s="34">
        <f t="shared" si="0"/>
        <v>2</v>
      </c>
      <c r="U37" s="34">
        <f t="shared" si="1"/>
        <v>788.19999999999993</v>
      </c>
      <c r="V37" s="34">
        <f t="shared" si="2"/>
        <v>841.19999999999993</v>
      </c>
      <c r="W37" s="36">
        <f t="shared" si="7"/>
        <v>0.08</v>
      </c>
      <c r="X37" s="34">
        <f t="shared" si="3"/>
        <v>773.904</v>
      </c>
      <c r="Y37" s="34" t="str">
        <f t="shared" si="4"/>
        <v>Angela Evans</v>
      </c>
      <c r="Z37" s="34" t="str">
        <f t="shared" si="5"/>
        <v>BeforeTime</v>
      </c>
      <c r="AA37" s="34" t="str">
        <f t="shared" si="6"/>
        <v>outlook.com</v>
      </c>
    </row>
    <row r="38" spans="1:27" ht="14.25" customHeight="1" x14ac:dyDescent="0.3">
      <c r="A38" t="s">
        <v>65</v>
      </c>
      <c r="B38" t="s">
        <v>66</v>
      </c>
      <c r="C38" t="s">
        <v>67</v>
      </c>
      <c r="D38">
        <v>49</v>
      </c>
      <c r="E38" t="s">
        <v>52</v>
      </c>
      <c r="F38" t="s">
        <v>30</v>
      </c>
      <c r="G38" t="s">
        <v>68</v>
      </c>
      <c r="H38" t="s">
        <v>69</v>
      </c>
      <c r="I38" t="s">
        <v>313</v>
      </c>
      <c r="J38" s="8">
        <v>45242</v>
      </c>
      <c r="K38" t="s">
        <v>314</v>
      </c>
      <c r="L38" t="s">
        <v>199</v>
      </c>
      <c r="M38">
        <v>20.7</v>
      </c>
      <c r="N38">
        <v>5</v>
      </c>
      <c r="O38" t="s">
        <v>63</v>
      </c>
      <c r="P38">
        <v>2</v>
      </c>
      <c r="Q38">
        <v>64</v>
      </c>
      <c r="R38" s="8">
        <v>45248</v>
      </c>
      <c r="S38" t="s">
        <v>315</v>
      </c>
      <c r="T38" s="33">
        <f t="shared" si="0"/>
        <v>6</v>
      </c>
      <c r="U38" s="33">
        <f t="shared" si="1"/>
        <v>103.5</v>
      </c>
      <c r="V38" s="33">
        <f t="shared" si="2"/>
        <v>167.5</v>
      </c>
      <c r="W38" s="36">
        <f t="shared" si="7"/>
        <v>0</v>
      </c>
      <c r="X38" s="33">
        <f t="shared" si="3"/>
        <v>167.5</v>
      </c>
      <c r="Y38" s="33" t="str">
        <f t="shared" si="4"/>
        <v>Angela Horne</v>
      </c>
      <c r="Z38" s="33" t="str">
        <f t="shared" si="5"/>
        <v>Late</v>
      </c>
      <c r="AA38" s="33" t="str">
        <f t="shared" si="6"/>
        <v>outlook.com</v>
      </c>
    </row>
    <row r="39" spans="1:27" ht="14.25" customHeight="1" x14ac:dyDescent="0.3">
      <c r="A39" t="s">
        <v>316</v>
      </c>
      <c r="B39" t="s">
        <v>317</v>
      </c>
      <c r="C39" t="s">
        <v>318</v>
      </c>
      <c r="D39">
        <v>45</v>
      </c>
      <c r="E39" t="s">
        <v>29</v>
      </c>
      <c r="F39" t="s">
        <v>42</v>
      </c>
      <c r="G39" t="s">
        <v>319</v>
      </c>
      <c r="H39" t="s">
        <v>320</v>
      </c>
      <c r="I39" t="s">
        <v>321</v>
      </c>
      <c r="J39" s="8">
        <v>45193</v>
      </c>
      <c r="K39" t="s">
        <v>322</v>
      </c>
      <c r="L39" t="s">
        <v>323</v>
      </c>
      <c r="M39">
        <v>481.48</v>
      </c>
      <c r="N39">
        <v>2</v>
      </c>
      <c r="O39" t="s">
        <v>58</v>
      </c>
      <c r="P39">
        <v>3</v>
      </c>
      <c r="Q39">
        <v>50</v>
      </c>
      <c r="R39" s="8">
        <v>45196</v>
      </c>
      <c r="S39" t="s">
        <v>324</v>
      </c>
      <c r="T39" s="34">
        <f t="shared" si="0"/>
        <v>3</v>
      </c>
      <c r="U39" s="34">
        <f t="shared" si="1"/>
        <v>962.96</v>
      </c>
      <c r="V39" s="34">
        <f t="shared" si="2"/>
        <v>1012.96</v>
      </c>
      <c r="W39" s="36">
        <f t="shared" si="7"/>
        <v>0.15</v>
      </c>
      <c r="X39" s="34">
        <f t="shared" si="3"/>
        <v>861.01599999999996</v>
      </c>
      <c r="Y39" s="34" t="str">
        <f t="shared" si="4"/>
        <v>Jenny Estrada</v>
      </c>
      <c r="Z39" s="34" t="str">
        <f t="shared" si="5"/>
        <v>Intime</v>
      </c>
      <c r="AA39" s="34" t="str">
        <f t="shared" si="6"/>
        <v>yahoo.com</v>
      </c>
    </row>
    <row r="40" spans="1:27" ht="14.25" customHeight="1" x14ac:dyDescent="0.3">
      <c r="A40" t="s">
        <v>325</v>
      </c>
      <c r="B40" t="s">
        <v>326</v>
      </c>
      <c r="C40" t="s">
        <v>327</v>
      </c>
      <c r="D40">
        <v>29</v>
      </c>
      <c r="E40" t="s">
        <v>52</v>
      </c>
      <c r="F40" t="s">
        <v>90</v>
      </c>
      <c r="G40" t="s">
        <v>328</v>
      </c>
      <c r="H40" t="s">
        <v>329</v>
      </c>
      <c r="I40" t="s">
        <v>330</v>
      </c>
      <c r="J40" s="8">
        <v>45656</v>
      </c>
      <c r="K40" t="s">
        <v>331</v>
      </c>
      <c r="L40" t="s">
        <v>62</v>
      </c>
      <c r="M40">
        <v>405</v>
      </c>
      <c r="N40">
        <v>1</v>
      </c>
      <c r="O40" t="s">
        <v>63</v>
      </c>
      <c r="P40">
        <v>7</v>
      </c>
      <c r="Q40">
        <v>36</v>
      </c>
      <c r="R40" s="8">
        <v>45661</v>
      </c>
      <c r="S40" t="s">
        <v>332</v>
      </c>
      <c r="T40" s="33">
        <f t="shared" si="0"/>
        <v>5</v>
      </c>
      <c r="U40" s="33">
        <f t="shared" si="1"/>
        <v>405</v>
      </c>
      <c r="V40" s="33">
        <f t="shared" si="2"/>
        <v>441</v>
      </c>
      <c r="W40" s="36">
        <f t="shared" si="7"/>
        <v>0</v>
      </c>
      <c r="X40" s="33">
        <f t="shared" si="3"/>
        <v>441</v>
      </c>
      <c r="Y40" s="33" t="str">
        <f t="shared" si="4"/>
        <v>Courtney Parker</v>
      </c>
      <c r="Z40" s="33" t="str">
        <f t="shared" si="5"/>
        <v>BeforeTime</v>
      </c>
      <c r="AA40" s="33" t="str">
        <f t="shared" si="6"/>
        <v>yahoo.com</v>
      </c>
    </row>
    <row r="41" spans="1:27" ht="14.25" customHeight="1" x14ac:dyDescent="0.3">
      <c r="A41" t="s">
        <v>333</v>
      </c>
      <c r="B41" t="s">
        <v>334</v>
      </c>
      <c r="C41" t="s">
        <v>335</v>
      </c>
      <c r="D41">
        <v>23</v>
      </c>
      <c r="E41" t="s">
        <v>29</v>
      </c>
      <c r="F41" t="s">
        <v>30</v>
      </c>
      <c r="G41" t="s">
        <v>336</v>
      </c>
      <c r="H41" t="s">
        <v>337</v>
      </c>
      <c r="I41" t="s">
        <v>338</v>
      </c>
      <c r="J41" s="8">
        <v>45574</v>
      </c>
      <c r="K41" t="s">
        <v>339</v>
      </c>
      <c r="L41" t="s">
        <v>340</v>
      </c>
      <c r="M41">
        <v>77.84</v>
      </c>
      <c r="N41">
        <v>5</v>
      </c>
      <c r="O41" t="s">
        <v>63</v>
      </c>
      <c r="P41">
        <v>4</v>
      </c>
      <c r="Q41">
        <v>47</v>
      </c>
      <c r="R41" s="8">
        <v>45575</v>
      </c>
      <c r="S41" t="s">
        <v>341</v>
      </c>
      <c r="T41" s="34">
        <f t="shared" si="0"/>
        <v>1</v>
      </c>
      <c r="U41" s="34">
        <f t="shared" si="1"/>
        <v>389.20000000000005</v>
      </c>
      <c r="V41" s="34">
        <f t="shared" si="2"/>
        <v>436.20000000000005</v>
      </c>
      <c r="W41" s="36">
        <f t="shared" si="7"/>
        <v>0</v>
      </c>
      <c r="X41" s="34">
        <f t="shared" si="3"/>
        <v>436.20000000000005</v>
      </c>
      <c r="Y41" s="34" t="str">
        <f t="shared" si="4"/>
        <v>Julie Meyer</v>
      </c>
      <c r="Z41" s="34" t="str">
        <f t="shared" si="5"/>
        <v>BeforeTime</v>
      </c>
      <c r="AA41" s="34" t="str">
        <f t="shared" si="6"/>
        <v>yahoo.com</v>
      </c>
    </row>
    <row r="42" spans="1:27" ht="14.25" customHeight="1" x14ac:dyDescent="0.3">
      <c r="A42" t="s">
        <v>65</v>
      </c>
      <c r="B42" t="s">
        <v>66</v>
      </c>
      <c r="C42" t="s">
        <v>67</v>
      </c>
      <c r="D42">
        <v>49</v>
      </c>
      <c r="E42" t="s">
        <v>52</v>
      </c>
      <c r="F42" t="s">
        <v>30</v>
      </c>
      <c r="G42" t="s">
        <v>68</v>
      </c>
      <c r="H42" t="s">
        <v>69</v>
      </c>
      <c r="I42" t="s">
        <v>342</v>
      </c>
      <c r="J42" s="8">
        <v>45557</v>
      </c>
      <c r="K42" t="s">
        <v>343</v>
      </c>
      <c r="L42" t="s">
        <v>344</v>
      </c>
      <c r="M42">
        <v>372.62</v>
      </c>
      <c r="N42">
        <v>3</v>
      </c>
      <c r="O42" t="s">
        <v>36</v>
      </c>
      <c r="P42">
        <v>3</v>
      </c>
      <c r="Q42">
        <v>59</v>
      </c>
      <c r="R42" s="8">
        <v>45564</v>
      </c>
      <c r="S42" t="s">
        <v>345</v>
      </c>
      <c r="T42" s="33">
        <f t="shared" si="0"/>
        <v>7</v>
      </c>
      <c r="U42" s="33">
        <f t="shared" si="1"/>
        <v>1117.8600000000001</v>
      </c>
      <c r="V42" s="33">
        <f t="shared" si="2"/>
        <v>1176.8600000000001</v>
      </c>
      <c r="W42" s="36">
        <f t="shared" si="7"/>
        <v>0.08</v>
      </c>
      <c r="X42" s="33">
        <f t="shared" si="3"/>
        <v>1082.7112000000002</v>
      </c>
      <c r="Y42" s="33" t="str">
        <f t="shared" si="4"/>
        <v>Angela Horne</v>
      </c>
      <c r="Z42" s="33" t="str">
        <f t="shared" si="5"/>
        <v>Late</v>
      </c>
      <c r="AA42" s="33" t="str">
        <f t="shared" si="6"/>
        <v>outlook.com</v>
      </c>
    </row>
    <row r="43" spans="1:27" ht="14.25" customHeight="1" x14ac:dyDescent="0.3">
      <c r="A43" t="s">
        <v>147</v>
      </c>
      <c r="B43" t="s">
        <v>148</v>
      </c>
      <c r="C43" t="s">
        <v>149</v>
      </c>
      <c r="D43">
        <v>44</v>
      </c>
      <c r="E43" t="s">
        <v>41</v>
      </c>
      <c r="F43" t="s">
        <v>90</v>
      </c>
      <c r="G43" t="s">
        <v>150</v>
      </c>
      <c r="H43" t="s">
        <v>151</v>
      </c>
      <c r="I43" t="s">
        <v>346</v>
      </c>
      <c r="J43" s="8">
        <v>45568</v>
      </c>
      <c r="K43" t="s">
        <v>347</v>
      </c>
      <c r="L43" t="s">
        <v>344</v>
      </c>
      <c r="M43">
        <v>372.62</v>
      </c>
      <c r="N43">
        <v>3</v>
      </c>
      <c r="O43" t="s">
        <v>36</v>
      </c>
      <c r="P43">
        <v>1</v>
      </c>
      <c r="Q43">
        <v>52</v>
      </c>
      <c r="R43" s="8">
        <v>45575</v>
      </c>
      <c r="S43" t="s">
        <v>348</v>
      </c>
      <c r="T43" s="34">
        <f t="shared" si="0"/>
        <v>7</v>
      </c>
      <c r="U43" s="34">
        <f t="shared" si="1"/>
        <v>1117.8600000000001</v>
      </c>
      <c r="V43" s="34">
        <f t="shared" si="2"/>
        <v>1169.8600000000001</v>
      </c>
      <c r="W43" s="36">
        <f t="shared" si="7"/>
        <v>0.08</v>
      </c>
      <c r="X43" s="34">
        <f t="shared" si="3"/>
        <v>1076.2712000000001</v>
      </c>
      <c r="Y43" s="34" t="str">
        <f t="shared" si="4"/>
        <v>Amy Reid</v>
      </c>
      <c r="Z43" s="34" t="str">
        <f t="shared" si="5"/>
        <v>Late</v>
      </c>
      <c r="AA43" s="34" t="str">
        <f t="shared" si="6"/>
        <v>rediffmail.com</v>
      </c>
    </row>
    <row r="44" spans="1:27" ht="14.25" customHeight="1" x14ac:dyDescent="0.3">
      <c r="A44" t="s">
        <v>349</v>
      </c>
      <c r="B44" t="s">
        <v>350</v>
      </c>
      <c r="C44" t="s">
        <v>351</v>
      </c>
      <c r="D44">
        <v>70</v>
      </c>
      <c r="E44" t="s">
        <v>29</v>
      </c>
      <c r="F44" t="s">
        <v>168</v>
      </c>
      <c r="G44" t="s">
        <v>352</v>
      </c>
      <c r="H44" t="s">
        <v>353</v>
      </c>
      <c r="I44" t="s">
        <v>354</v>
      </c>
      <c r="J44" s="8">
        <v>45151</v>
      </c>
      <c r="K44" t="s">
        <v>355</v>
      </c>
      <c r="L44" t="s">
        <v>356</v>
      </c>
      <c r="M44">
        <v>496.59</v>
      </c>
      <c r="N44">
        <v>3</v>
      </c>
      <c r="O44" t="s">
        <v>58</v>
      </c>
      <c r="P44">
        <v>4</v>
      </c>
      <c r="Q44">
        <v>49</v>
      </c>
      <c r="R44" s="8">
        <v>45152</v>
      </c>
      <c r="S44" t="s">
        <v>357</v>
      </c>
      <c r="T44" s="33">
        <f t="shared" si="0"/>
        <v>1</v>
      </c>
      <c r="U44" s="33">
        <f t="shared" si="1"/>
        <v>1489.77</v>
      </c>
      <c r="V44" s="33">
        <f t="shared" si="2"/>
        <v>1538.77</v>
      </c>
      <c r="W44" s="36">
        <f t="shared" si="7"/>
        <v>0.15</v>
      </c>
      <c r="X44" s="33">
        <f t="shared" si="3"/>
        <v>1307.9545000000001</v>
      </c>
      <c r="Y44" s="33" t="str">
        <f t="shared" si="4"/>
        <v>Donna Oneill</v>
      </c>
      <c r="Z44" s="33" t="str">
        <f t="shared" si="5"/>
        <v>BeforeTime</v>
      </c>
      <c r="AA44" s="33" t="str">
        <f t="shared" si="6"/>
        <v>yahoo.com</v>
      </c>
    </row>
    <row r="45" spans="1:27" ht="14.25" customHeight="1" x14ac:dyDescent="0.3">
      <c r="A45" t="s">
        <v>358</v>
      </c>
      <c r="B45" t="s">
        <v>359</v>
      </c>
      <c r="C45" t="s">
        <v>360</v>
      </c>
      <c r="D45">
        <v>32</v>
      </c>
      <c r="E45" t="s">
        <v>41</v>
      </c>
      <c r="F45" t="s">
        <v>168</v>
      </c>
      <c r="G45" t="s">
        <v>361</v>
      </c>
      <c r="H45" t="s">
        <v>362</v>
      </c>
      <c r="I45" t="s">
        <v>363</v>
      </c>
      <c r="J45" s="8">
        <v>45020</v>
      </c>
      <c r="K45" t="s">
        <v>364</v>
      </c>
      <c r="L45" t="s">
        <v>308</v>
      </c>
      <c r="M45">
        <v>129.75</v>
      </c>
      <c r="N45">
        <v>1</v>
      </c>
      <c r="O45" t="s">
        <v>96</v>
      </c>
      <c r="P45">
        <v>6</v>
      </c>
      <c r="Q45">
        <v>43</v>
      </c>
      <c r="R45" s="8">
        <v>45026</v>
      </c>
      <c r="S45" t="s">
        <v>365</v>
      </c>
      <c r="T45" s="34">
        <f t="shared" si="0"/>
        <v>6</v>
      </c>
      <c r="U45" s="34">
        <f t="shared" si="1"/>
        <v>129.75</v>
      </c>
      <c r="V45" s="34">
        <f t="shared" si="2"/>
        <v>172.75</v>
      </c>
      <c r="W45" s="36">
        <f t="shared" si="7"/>
        <v>0.1</v>
      </c>
      <c r="X45" s="34">
        <f t="shared" si="3"/>
        <v>155.47499999999999</v>
      </c>
      <c r="Y45" s="34" t="str">
        <f t="shared" si="4"/>
        <v>Robert Castillo</v>
      </c>
      <c r="Z45" s="34" t="str">
        <f t="shared" si="5"/>
        <v>Intime</v>
      </c>
      <c r="AA45" s="34" t="str">
        <f t="shared" si="6"/>
        <v>gmail.com</v>
      </c>
    </row>
    <row r="46" spans="1:27" ht="14.25" customHeight="1" x14ac:dyDescent="0.3">
      <c r="A46" t="s">
        <v>366</v>
      </c>
      <c r="B46" t="s">
        <v>367</v>
      </c>
      <c r="C46" t="s">
        <v>368</v>
      </c>
      <c r="D46">
        <v>31</v>
      </c>
      <c r="E46" t="s">
        <v>52</v>
      </c>
      <c r="F46" t="s">
        <v>140</v>
      </c>
      <c r="G46" t="s">
        <v>369</v>
      </c>
      <c r="H46" t="s">
        <v>370</v>
      </c>
      <c r="I46" t="s">
        <v>371</v>
      </c>
      <c r="J46" s="8">
        <v>45336</v>
      </c>
      <c r="K46" t="s">
        <v>372</v>
      </c>
      <c r="L46" t="s">
        <v>145</v>
      </c>
      <c r="M46">
        <v>190.1</v>
      </c>
      <c r="N46">
        <v>5</v>
      </c>
      <c r="O46" t="s">
        <v>36</v>
      </c>
      <c r="P46">
        <v>5</v>
      </c>
      <c r="Q46">
        <v>35</v>
      </c>
      <c r="R46" s="8">
        <v>45341</v>
      </c>
      <c r="S46" t="s">
        <v>373</v>
      </c>
      <c r="T46" s="33">
        <f t="shared" si="0"/>
        <v>5</v>
      </c>
      <c r="U46" s="33">
        <f t="shared" si="1"/>
        <v>950.5</v>
      </c>
      <c r="V46" s="33">
        <f t="shared" si="2"/>
        <v>985.5</v>
      </c>
      <c r="W46" s="36">
        <f t="shared" si="7"/>
        <v>0.08</v>
      </c>
      <c r="X46" s="33">
        <f t="shared" si="3"/>
        <v>906.66000000000008</v>
      </c>
      <c r="Y46" s="33" t="str">
        <f t="shared" si="4"/>
        <v>Timothy Hicks</v>
      </c>
      <c r="Z46" s="33" t="str">
        <f t="shared" si="5"/>
        <v>Intime</v>
      </c>
      <c r="AA46" s="33" t="str">
        <f t="shared" si="6"/>
        <v>gmail.com</v>
      </c>
    </row>
    <row r="47" spans="1:27" ht="14.25" customHeight="1" x14ac:dyDescent="0.3">
      <c r="A47" t="s">
        <v>374</v>
      </c>
      <c r="B47" t="s">
        <v>40</v>
      </c>
      <c r="C47" t="s">
        <v>375</v>
      </c>
      <c r="D47">
        <v>50</v>
      </c>
      <c r="E47" t="s">
        <v>52</v>
      </c>
      <c r="F47" t="s">
        <v>140</v>
      </c>
      <c r="G47" t="s">
        <v>376</v>
      </c>
      <c r="H47" t="s">
        <v>377</v>
      </c>
      <c r="I47" t="s">
        <v>378</v>
      </c>
      <c r="J47" s="8">
        <v>44987</v>
      </c>
      <c r="K47" t="s">
        <v>379</v>
      </c>
      <c r="L47" t="s">
        <v>145</v>
      </c>
      <c r="M47">
        <v>190.1</v>
      </c>
      <c r="N47">
        <v>1</v>
      </c>
      <c r="O47" t="s">
        <v>85</v>
      </c>
      <c r="P47">
        <v>4</v>
      </c>
      <c r="Q47">
        <v>63</v>
      </c>
      <c r="R47" s="8">
        <v>44992</v>
      </c>
      <c r="S47" t="s">
        <v>380</v>
      </c>
      <c r="T47" s="34">
        <f t="shared" si="0"/>
        <v>5</v>
      </c>
      <c r="U47" s="34">
        <f t="shared" si="1"/>
        <v>190.1</v>
      </c>
      <c r="V47" s="34">
        <f t="shared" si="2"/>
        <v>253.1</v>
      </c>
      <c r="W47" s="36">
        <f t="shared" si="7"/>
        <v>0.2</v>
      </c>
      <c r="X47" s="34">
        <f t="shared" si="3"/>
        <v>202.48000000000002</v>
      </c>
      <c r="Y47" s="34" t="str">
        <f t="shared" si="4"/>
        <v>Thomas Andersen</v>
      </c>
      <c r="Z47" s="34" t="str">
        <f t="shared" si="5"/>
        <v>Late</v>
      </c>
      <c r="AA47" s="34" t="str">
        <f t="shared" si="6"/>
        <v>yahoo.com</v>
      </c>
    </row>
    <row r="48" spans="1:27" ht="14.25" customHeight="1" x14ac:dyDescent="0.3">
      <c r="A48" t="s">
        <v>301</v>
      </c>
      <c r="B48" t="s">
        <v>302</v>
      </c>
      <c r="C48" t="s">
        <v>303</v>
      </c>
      <c r="D48">
        <v>26</v>
      </c>
      <c r="E48" t="s">
        <v>52</v>
      </c>
      <c r="F48" t="s">
        <v>168</v>
      </c>
      <c r="G48" t="s">
        <v>304</v>
      </c>
      <c r="H48" t="s">
        <v>305</v>
      </c>
      <c r="I48" t="s">
        <v>381</v>
      </c>
      <c r="J48" s="8">
        <v>45313</v>
      </c>
      <c r="K48" t="s">
        <v>382</v>
      </c>
      <c r="L48" t="s">
        <v>383</v>
      </c>
      <c r="M48">
        <v>431.44</v>
      </c>
      <c r="N48">
        <v>5</v>
      </c>
      <c r="O48" t="s">
        <v>36</v>
      </c>
      <c r="P48">
        <v>2</v>
      </c>
      <c r="Q48">
        <v>57</v>
      </c>
      <c r="R48" s="8">
        <v>45318</v>
      </c>
      <c r="S48" t="s">
        <v>384</v>
      </c>
      <c r="T48" s="33">
        <f t="shared" si="0"/>
        <v>5</v>
      </c>
      <c r="U48" s="33">
        <f t="shared" si="1"/>
        <v>2157.1999999999998</v>
      </c>
      <c r="V48" s="33">
        <f t="shared" si="2"/>
        <v>2214.1999999999998</v>
      </c>
      <c r="W48" s="36">
        <f t="shared" si="7"/>
        <v>0.08</v>
      </c>
      <c r="X48" s="33">
        <f t="shared" si="3"/>
        <v>2037.0639999999999</v>
      </c>
      <c r="Y48" s="33" t="str">
        <f t="shared" si="4"/>
        <v>Valerie Carr</v>
      </c>
      <c r="Z48" s="33" t="str">
        <f t="shared" si="5"/>
        <v>Late</v>
      </c>
      <c r="AA48" s="33" t="str">
        <f t="shared" si="6"/>
        <v>rediffmail.com</v>
      </c>
    </row>
    <row r="49" spans="1:27" ht="14.25" customHeight="1" x14ac:dyDescent="0.3">
      <c r="A49" t="s">
        <v>385</v>
      </c>
      <c r="B49" t="s">
        <v>386</v>
      </c>
      <c r="C49" t="s">
        <v>387</v>
      </c>
      <c r="D49">
        <v>47</v>
      </c>
      <c r="E49" t="s">
        <v>41</v>
      </c>
      <c r="F49" t="s">
        <v>90</v>
      </c>
      <c r="G49" t="s">
        <v>388</v>
      </c>
      <c r="H49" t="s">
        <v>389</v>
      </c>
      <c r="I49" t="s">
        <v>390</v>
      </c>
      <c r="J49" s="8">
        <v>45054</v>
      </c>
      <c r="K49" t="s">
        <v>391</v>
      </c>
      <c r="L49" t="s">
        <v>287</v>
      </c>
      <c r="M49">
        <v>157.63999999999999</v>
      </c>
      <c r="N49">
        <v>4</v>
      </c>
      <c r="O49" t="s">
        <v>36</v>
      </c>
      <c r="P49">
        <v>4</v>
      </c>
      <c r="Q49">
        <v>44</v>
      </c>
      <c r="R49" s="8">
        <v>45061</v>
      </c>
      <c r="S49" t="s">
        <v>392</v>
      </c>
      <c r="T49" s="34">
        <f t="shared" si="0"/>
        <v>7</v>
      </c>
      <c r="U49" s="34">
        <f t="shared" si="1"/>
        <v>630.55999999999995</v>
      </c>
      <c r="V49" s="34">
        <f t="shared" si="2"/>
        <v>674.56</v>
      </c>
      <c r="W49" s="36">
        <f t="shared" si="7"/>
        <v>0.08</v>
      </c>
      <c r="X49" s="34">
        <f t="shared" si="3"/>
        <v>620.59519999999998</v>
      </c>
      <c r="Y49" s="34" t="str">
        <f t="shared" si="4"/>
        <v>Aaron Thompson</v>
      </c>
      <c r="Z49" s="34" t="str">
        <f t="shared" si="5"/>
        <v>Late</v>
      </c>
      <c r="AA49" s="34" t="str">
        <f t="shared" si="6"/>
        <v>gmail.com</v>
      </c>
    </row>
    <row r="50" spans="1:27" ht="14.25" customHeight="1" x14ac:dyDescent="0.3">
      <c r="A50" t="s">
        <v>393</v>
      </c>
      <c r="B50" t="s">
        <v>394</v>
      </c>
      <c r="C50" t="s">
        <v>395</v>
      </c>
      <c r="D50">
        <v>40</v>
      </c>
      <c r="E50" t="s">
        <v>52</v>
      </c>
      <c r="F50" t="s">
        <v>168</v>
      </c>
      <c r="G50" t="s">
        <v>396</v>
      </c>
      <c r="H50" t="s">
        <v>397</v>
      </c>
      <c r="I50" t="s">
        <v>398</v>
      </c>
      <c r="J50" s="8">
        <v>45620</v>
      </c>
      <c r="K50" t="s">
        <v>399</v>
      </c>
      <c r="L50" t="s">
        <v>47</v>
      </c>
      <c r="M50">
        <v>166.28</v>
      </c>
      <c r="N50">
        <v>4</v>
      </c>
      <c r="O50" t="s">
        <v>63</v>
      </c>
      <c r="P50">
        <v>3</v>
      </c>
      <c r="Q50">
        <v>41</v>
      </c>
      <c r="R50" s="8">
        <v>45626</v>
      </c>
      <c r="S50" t="s">
        <v>400</v>
      </c>
      <c r="T50" s="33">
        <f t="shared" si="0"/>
        <v>6</v>
      </c>
      <c r="U50" s="33">
        <f t="shared" si="1"/>
        <v>665.12</v>
      </c>
      <c r="V50" s="33">
        <f t="shared" si="2"/>
        <v>706.12</v>
      </c>
      <c r="W50" s="36">
        <f t="shared" si="7"/>
        <v>0</v>
      </c>
      <c r="X50" s="33">
        <f t="shared" si="3"/>
        <v>706.12</v>
      </c>
      <c r="Y50" s="33" t="str">
        <f t="shared" si="4"/>
        <v>Jason Lopez</v>
      </c>
      <c r="Z50" s="33" t="str">
        <f t="shared" si="5"/>
        <v>Late</v>
      </c>
      <c r="AA50" s="33" t="str">
        <f t="shared" si="6"/>
        <v>outlook.com</v>
      </c>
    </row>
    <row r="51" spans="1:27" ht="14.25" customHeight="1" x14ac:dyDescent="0.3">
      <c r="A51" t="s">
        <v>401</v>
      </c>
      <c r="B51" t="s">
        <v>402</v>
      </c>
      <c r="C51" t="s">
        <v>403</v>
      </c>
      <c r="D51">
        <v>70</v>
      </c>
      <c r="E51" t="s">
        <v>29</v>
      </c>
      <c r="F51" t="s">
        <v>30</v>
      </c>
      <c r="G51" t="s">
        <v>404</v>
      </c>
      <c r="H51" t="s">
        <v>405</v>
      </c>
      <c r="I51" t="s">
        <v>406</v>
      </c>
      <c r="J51" s="8">
        <v>45545</v>
      </c>
      <c r="K51" t="s">
        <v>407</v>
      </c>
      <c r="L51" t="s">
        <v>199</v>
      </c>
      <c r="M51">
        <v>20.7</v>
      </c>
      <c r="N51">
        <v>2</v>
      </c>
      <c r="O51" t="s">
        <v>96</v>
      </c>
      <c r="P51">
        <v>2</v>
      </c>
      <c r="Q51">
        <v>50</v>
      </c>
      <c r="R51" s="8">
        <v>45547</v>
      </c>
      <c r="S51" t="s">
        <v>408</v>
      </c>
      <c r="T51" s="34">
        <f t="shared" si="0"/>
        <v>2</v>
      </c>
      <c r="U51" s="34">
        <f t="shared" si="1"/>
        <v>41.4</v>
      </c>
      <c r="V51" s="34">
        <f t="shared" si="2"/>
        <v>91.4</v>
      </c>
      <c r="W51" s="36">
        <f t="shared" si="7"/>
        <v>0.1</v>
      </c>
      <c r="X51" s="34">
        <f t="shared" si="3"/>
        <v>82.26</v>
      </c>
      <c r="Y51" s="34" t="str">
        <f t="shared" si="4"/>
        <v>Alexandra Smith</v>
      </c>
      <c r="Z51" s="34" t="str">
        <f t="shared" si="5"/>
        <v>Intime</v>
      </c>
      <c r="AA51" s="34" t="str">
        <f t="shared" si="6"/>
        <v>rediffmail.com</v>
      </c>
    </row>
    <row r="52" spans="1:27" ht="14.25" customHeight="1" x14ac:dyDescent="0.3">
      <c r="A52" t="s">
        <v>349</v>
      </c>
      <c r="B52" t="s">
        <v>350</v>
      </c>
      <c r="C52" t="s">
        <v>351</v>
      </c>
      <c r="D52">
        <v>70</v>
      </c>
      <c r="E52" t="s">
        <v>29</v>
      </c>
      <c r="F52" t="s">
        <v>168</v>
      </c>
      <c r="G52" t="s">
        <v>352</v>
      </c>
      <c r="H52" t="s">
        <v>353</v>
      </c>
      <c r="I52" t="s">
        <v>409</v>
      </c>
      <c r="J52" s="8">
        <v>45224</v>
      </c>
      <c r="K52" t="s">
        <v>410</v>
      </c>
      <c r="L52" t="s">
        <v>308</v>
      </c>
      <c r="M52">
        <v>129.75</v>
      </c>
      <c r="N52">
        <v>2</v>
      </c>
      <c r="O52" t="s">
        <v>85</v>
      </c>
      <c r="P52">
        <v>5</v>
      </c>
      <c r="Q52">
        <v>42</v>
      </c>
      <c r="R52" s="8">
        <v>45227</v>
      </c>
      <c r="S52" t="s">
        <v>411</v>
      </c>
      <c r="T52" s="33">
        <f t="shared" si="0"/>
        <v>3</v>
      </c>
      <c r="U52" s="33">
        <f t="shared" si="1"/>
        <v>259.5</v>
      </c>
      <c r="V52" s="33">
        <f t="shared" si="2"/>
        <v>301.5</v>
      </c>
      <c r="W52" s="36">
        <f t="shared" si="7"/>
        <v>0.2</v>
      </c>
      <c r="X52" s="33">
        <f t="shared" si="3"/>
        <v>241.20000000000002</v>
      </c>
      <c r="Y52" s="33" t="str">
        <f t="shared" si="4"/>
        <v>Donna Oneill</v>
      </c>
      <c r="Z52" s="33" t="str">
        <f t="shared" si="5"/>
        <v>BeforeTime</v>
      </c>
      <c r="AA52" s="33" t="str">
        <f t="shared" si="6"/>
        <v>yahoo.com</v>
      </c>
    </row>
    <row r="53" spans="1:27" ht="14.25" customHeight="1" x14ac:dyDescent="0.3">
      <c r="A53" t="s">
        <v>412</v>
      </c>
      <c r="B53" t="s">
        <v>228</v>
      </c>
      <c r="C53" t="s">
        <v>413</v>
      </c>
      <c r="D53">
        <v>28</v>
      </c>
      <c r="E53" t="s">
        <v>52</v>
      </c>
      <c r="F53" t="s">
        <v>140</v>
      </c>
      <c r="G53" t="s">
        <v>414</v>
      </c>
      <c r="H53" t="s">
        <v>415</v>
      </c>
      <c r="I53" t="s">
        <v>416</v>
      </c>
      <c r="J53" s="8">
        <v>45365</v>
      </c>
      <c r="K53" t="s">
        <v>417</v>
      </c>
      <c r="L53" t="s">
        <v>418</v>
      </c>
      <c r="M53">
        <v>44.5</v>
      </c>
      <c r="N53">
        <v>4</v>
      </c>
      <c r="O53" t="s">
        <v>36</v>
      </c>
      <c r="P53">
        <v>2</v>
      </c>
      <c r="Q53">
        <v>40</v>
      </c>
      <c r="R53" s="8">
        <v>45368</v>
      </c>
      <c r="S53" t="s">
        <v>419</v>
      </c>
      <c r="T53" s="34">
        <f t="shared" si="0"/>
        <v>3</v>
      </c>
      <c r="U53" s="34">
        <f t="shared" si="1"/>
        <v>178</v>
      </c>
      <c r="V53" s="34">
        <f t="shared" si="2"/>
        <v>218</v>
      </c>
      <c r="W53" s="36">
        <f t="shared" si="7"/>
        <v>0.08</v>
      </c>
      <c r="X53" s="34">
        <f t="shared" si="3"/>
        <v>200.56</v>
      </c>
      <c r="Y53" s="34" t="str">
        <f t="shared" si="4"/>
        <v>John Ramirez</v>
      </c>
      <c r="Z53" s="34" t="str">
        <f t="shared" si="5"/>
        <v>Late</v>
      </c>
      <c r="AA53" s="34" t="str">
        <f t="shared" si="6"/>
        <v>outlook.com</v>
      </c>
    </row>
    <row r="54" spans="1:27" ht="14.25" customHeight="1" x14ac:dyDescent="0.3">
      <c r="A54" t="s">
        <v>420</v>
      </c>
      <c r="B54" t="s">
        <v>421</v>
      </c>
      <c r="C54" t="s">
        <v>422</v>
      </c>
      <c r="D54">
        <v>52</v>
      </c>
      <c r="E54" t="s">
        <v>52</v>
      </c>
      <c r="F54" t="s">
        <v>220</v>
      </c>
      <c r="G54" t="s">
        <v>423</v>
      </c>
      <c r="H54" t="s">
        <v>424</v>
      </c>
      <c r="I54" t="s">
        <v>425</v>
      </c>
      <c r="J54" s="8">
        <v>45145</v>
      </c>
      <c r="K54" t="s">
        <v>426</v>
      </c>
      <c r="L54" t="s">
        <v>250</v>
      </c>
      <c r="M54">
        <v>128.13999999999999</v>
      </c>
      <c r="N54">
        <v>5</v>
      </c>
      <c r="O54" t="s">
        <v>58</v>
      </c>
      <c r="P54">
        <v>2</v>
      </c>
      <c r="Q54">
        <v>57</v>
      </c>
      <c r="R54" s="8">
        <v>45147</v>
      </c>
      <c r="S54" t="s">
        <v>427</v>
      </c>
      <c r="T54" s="33">
        <f t="shared" si="0"/>
        <v>2</v>
      </c>
      <c r="U54" s="33">
        <f t="shared" si="1"/>
        <v>640.69999999999993</v>
      </c>
      <c r="V54" s="33">
        <f t="shared" si="2"/>
        <v>697.69999999999993</v>
      </c>
      <c r="W54" s="36">
        <f t="shared" si="7"/>
        <v>0.15</v>
      </c>
      <c r="X54" s="33">
        <f t="shared" si="3"/>
        <v>593.04499999999996</v>
      </c>
      <c r="Y54" s="33" t="str">
        <f t="shared" si="4"/>
        <v>Amanda Howard</v>
      </c>
      <c r="Z54" s="33" t="str">
        <f t="shared" si="5"/>
        <v>Intime</v>
      </c>
      <c r="AA54" s="33" t="str">
        <f t="shared" si="6"/>
        <v>outlook.com</v>
      </c>
    </row>
    <row r="55" spans="1:27" ht="14.25" customHeight="1" x14ac:dyDescent="0.3">
      <c r="A55" t="s">
        <v>301</v>
      </c>
      <c r="B55" t="s">
        <v>302</v>
      </c>
      <c r="C55" t="s">
        <v>303</v>
      </c>
      <c r="D55">
        <v>26</v>
      </c>
      <c r="E55" t="s">
        <v>52</v>
      </c>
      <c r="F55" t="s">
        <v>168</v>
      </c>
      <c r="G55" t="s">
        <v>304</v>
      </c>
      <c r="H55" t="s">
        <v>305</v>
      </c>
      <c r="I55" t="s">
        <v>428</v>
      </c>
      <c r="J55" s="8">
        <v>45312</v>
      </c>
      <c r="K55" t="s">
        <v>429</v>
      </c>
      <c r="L55" t="s">
        <v>430</v>
      </c>
      <c r="M55">
        <v>369.03</v>
      </c>
      <c r="N55">
        <v>2</v>
      </c>
      <c r="O55" t="s">
        <v>96</v>
      </c>
      <c r="P55">
        <v>4</v>
      </c>
      <c r="Q55">
        <v>46</v>
      </c>
      <c r="R55" s="8">
        <v>45318</v>
      </c>
      <c r="S55" t="s">
        <v>431</v>
      </c>
      <c r="T55" s="34">
        <f t="shared" si="0"/>
        <v>6</v>
      </c>
      <c r="U55" s="34">
        <f t="shared" si="1"/>
        <v>738.06</v>
      </c>
      <c r="V55" s="34">
        <f t="shared" si="2"/>
        <v>784.06</v>
      </c>
      <c r="W55" s="36">
        <f t="shared" si="7"/>
        <v>0.1</v>
      </c>
      <c r="X55" s="34">
        <f t="shared" si="3"/>
        <v>705.654</v>
      </c>
      <c r="Y55" s="34" t="str">
        <f t="shared" si="4"/>
        <v>Valerie Carr</v>
      </c>
      <c r="Z55" s="34" t="str">
        <f t="shared" si="5"/>
        <v>Late</v>
      </c>
      <c r="AA55" s="34" t="str">
        <f t="shared" si="6"/>
        <v>rediffmail.com</v>
      </c>
    </row>
    <row r="56" spans="1:27" ht="14.25" customHeight="1" x14ac:dyDescent="0.3">
      <c r="A56" t="s">
        <v>412</v>
      </c>
      <c r="B56" t="s">
        <v>228</v>
      </c>
      <c r="C56" t="s">
        <v>413</v>
      </c>
      <c r="D56">
        <v>28</v>
      </c>
      <c r="E56" t="s">
        <v>52</v>
      </c>
      <c r="F56" t="s">
        <v>140</v>
      </c>
      <c r="G56" t="s">
        <v>414</v>
      </c>
      <c r="H56" t="s">
        <v>415</v>
      </c>
      <c r="I56" t="s">
        <v>432</v>
      </c>
      <c r="J56" s="8">
        <v>45599</v>
      </c>
      <c r="K56" t="s">
        <v>433</v>
      </c>
      <c r="L56" t="s">
        <v>95</v>
      </c>
      <c r="M56">
        <v>363.64</v>
      </c>
      <c r="N56">
        <v>1</v>
      </c>
      <c r="O56" t="s">
        <v>96</v>
      </c>
      <c r="P56">
        <v>3</v>
      </c>
      <c r="Q56">
        <v>70</v>
      </c>
      <c r="R56" s="8">
        <v>45606</v>
      </c>
      <c r="S56" t="s">
        <v>434</v>
      </c>
      <c r="T56" s="33">
        <f t="shared" si="0"/>
        <v>7</v>
      </c>
      <c r="U56" s="33">
        <f t="shared" si="1"/>
        <v>363.64</v>
      </c>
      <c r="V56" s="33">
        <f t="shared" si="2"/>
        <v>433.64</v>
      </c>
      <c r="W56" s="36">
        <f t="shared" si="7"/>
        <v>0.1</v>
      </c>
      <c r="X56" s="33">
        <f t="shared" si="3"/>
        <v>390.27600000000001</v>
      </c>
      <c r="Y56" s="33" t="str">
        <f t="shared" si="4"/>
        <v>John Ramirez</v>
      </c>
      <c r="Z56" s="33" t="str">
        <f t="shared" si="5"/>
        <v>Late</v>
      </c>
      <c r="AA56" s="33" t="str">
        <f t="shared" si="6"/>
        <v>outlook.com</v>
      </c>
    </row>
    <row r="57" spans="1:27" ht="14.25" customHeight="1" x14ac:dyDescent="0.3">
      <c r="A57" t="s">
        <v>435</v>
      </c>
      <c r="B57" t="s">
        <v>436</v>
      </c>
      <c r="C57" t="s">
        <v>437</v>
      </c>
      <c r="D57">
        <v>28</v>
      </c>
      <c r="E57" t="s">
        <v>52</v>
      </c>
      <c r="F57" t="s">
        <v>76</v>
      </c>
      <c r="G57" t="s">
        <v>438</v>
      </c>
      <c r="H57" t="s">
        <v>439</v>
      </c>
      <c r="I57" t="s">
        <v>440</v>
      </c>
      <c r="J57" s="8">
        <v>45229</v>
      </c>
      <c r="K57" t="s">
        <v>441</v>
      </c>
      <c r="L57" t="s">
        <v>62</v>
      </c>
      <c r="M57">
        <v>405</v>
      </c>
      <c r="N57">
        <v>1</v>
      </c>
      <c r="O57" t="s">
        <v>63</v>
      </c>
      <c r="P57">
        <v>5</v>
      </c>
      <c r="Q57">
        <v>44</v>
      </c>
      <c r="R57" s="8">
        <v>45233</v>
      </c>
      <c r="S57" t="s">
        <v>442</v>
      </c>
      <c r="T57" s="34">
        <f t="shared" si="0"/>
        <v>4</v>
      </c>
      <c r="U57" s="34">
        <f t="shared" si="1"/>
        <v>405</v>
      </c>
      <c r="V57" s="34">
        <f t="shared" si="2"/>
        <v>449</v>
      </c>
      <c r="W57" s="36">
        <f t="shared" si="7"/>
        <v>0</v>
      </c>
      <c r="X57" s="34">
        <f t="shared" si="3"/>
        <v>449</v>
      </c>
      <c r="Y57" s="34" t="str">
        <f t="shared" si="4"/>
        <v>Mary Knight</v>
      </c>
      <c r="Z57" s="34" t="str">
        <f t="shared" si="5"/>
        <v>BeforeTime</v>
      </c>
      <c r="AA57" s="34" t="str">
        <f t="shared" si="6"/>
        <v>yahoo.com</v>
      </c>
    </row>
    <row r="58" spans="1:27" ht="14.25" customHeight="1" x14ac:dyDescent="0.3">
      <c r="A58" t="s">
        <v>443</v>
      </c>
      <c r="B58" t="s">
        <v>99</v>
      </c>
      <c r="C58" t="s">
        <v>444</v>
      </c>
      <c r="D58">
        <v>36</v>
      </c>
      <c r="E58" t="s">
        <v>41</v>
      </c>
      <c r="F58" t="s">
        <v>30</v>
      </c>
      <c r="G58" t="s">
        <v>445</v>
      </c>
      <c r="H58" t="s">
        <v>446</v>
      </c>
      <c r="I58" t="s">
        <v>447</v>
      </c>
      <c r="J58" s="8">
        <v>45149</v>
      </c>
      <c r="K58" t="s">
        <v>448</v>
      </c>
      <c r="L58" t="s">
        <v>270</v>
      </c>
      <c r="M58">
        <v>62.42</v>
      </c>
      <c r="N58">
        <v>2</v>
      </c>
      <c r="O58" t="s">
        <v>58</v>
      </c>
      <c r="P58">
        <v>1</v>
      </c>
      <c r="Q58">
        <v>53</v>
      </c>
      <c r="R58" s="8">
        <v>45154</v>
      </c>
      <c r="S58" t="s">
        <v>449</v>
      </c>
      <c r="T58" s="33">
        <f t="shared" si="0"/>
        <v>5</v>
      </c>
      <c r="U58" s="33">
        <f t="shared" si="1"/>
        <v>124.84</v>
      </c>
      <c r="V58" s="33">
        <f t="shared" si="2"/>
        <v>177.84</v>
      </c>
      <c r="W58" s="36">
        <f t="shared" si="7"/>
        <v>0.15</v>
      </c>
      <c r="X58" s="33">
        <f t="shared" si="3"/>
        <v>151.16399999999999</v>
      </c>
      <c r="Y58" s="33" t="str">
        <f t="shared" si="4"/>
        <v>Marcus Rogers</v>
      </c>
      <c r="Z58" s="33" t="str">
        <f t="shared" si="5"/>
        <v>Late</v>
      </c>
      <c r="AA58" s="33" t="str">
        <f t="shared" si="6"/>
        <v>outlook.com</v>
      </c>
    </row>
    <row r="59" spans="1:27" ht="14.25" customHeight="1" x14ac:dyDescent="0.3">
      <c r="A59" t="s">
        <v>450</v>
      </c>
      <c r="B59" t="s">
        <v>451</v>
      </c>
      <c r="C59" t="s">
        <v>452</v>
      </c>
      <c r="D59">
        <v>69</v>
      </c>
      <c r="E59" t="s">
        <v>29</v>
      </c>
      <c r="F59" t="s">
        <v>30</v>
      </c>
      <c r="G59" t="s">
        <v>453</v>
      </c>
      <c r="H59" t="s">
        <v>454</v>
      </c>
      <c r="I59" t="s">
        <v>455</v>
      </c>
      <c r="J59" s="8">
        <v>45213</v>
      </c>
      <c r="K59" t="s">
        <v>456</v>
      </c>
      <c r="L59" t="s">
        <v>199</v>
      </c>
      <c r="M59">
        <v>20.7</v>
      </c>
      <c r="N59">
        <v>5</v>
      </c>
      <c r="O59" t="s">
        <v>58</v>
      </c>
      <c r="P59">
        <v>7</v>
      </c>
      <c r="Q59">
        <v>57</v>
      </c>
      <c r="R59" s="8">
        <v>45218</v>
      </c>
      <c r="S59" t="s">
        <v>457</v>
      </c>
      <c r="T59" s="34">
        <f t="shared" si="0"/>
        <v>5</v>
      </c>
      <c r="U59" s="34">
        <f t="shared" si="1"/>
        <v>103.5</v>
      </c>
      <c r="V59" s="34">
        <f t="shared" si="2"/>
        <v>160.5</v>
      </c>
      <c r="W59" s="36">
        <f t="shared" si="7"/>
        <v>0.15</v>
      </c>
      <c r="X59" s="34">
        <f t="shared" si="3"/>
        <v>136.42499999999998</v>
      </c>
      <c r="Y59" s="34" t="str">
        <f t="shared" si="4"/>
        <v>Brian Kennedy</v>
      </c>
      <c r="Z59" s="34" t="str">
        <f t="shared" si="5"/>
        <v>BeforeTime</v>
      </c>
      <c r="AA59" s="34" t="str">
        <f t="shared" si="6"/>
        <v>outlook.com</v>
      </c>
    </row>
    <row r="60" spans="1:27" ht="14.25" customHeight="1" x14ac:dyDescent="0.3">
      <c r="A60" t="s">
        <v>458</v>
      </c>
      <c r="B60" t="s">
        <v>459</v>
      </c>
      <c r="C60" t="s">
        <v>460</v>
      </c>
      <c r="D60">
        <v>63</v>
      </c>
      <c r="E60" t="s">
        <v>29</v>
      </c>
      <c r="F60" t="s">
        <v>140</v>
      </c>
      <c r="G60" t="s">
        <v>461</v>
      </c>
      <c r="H60" t="s">
        <v>462</v>
      </c>
      <c r="I60" t="s">
        <v>463</v>
      </c>
      <c r="J60" s="8">
        <v>45655</v>
      </c>
      <c r="K60" t="s">
        <v>464</v>
      </c>
      <c r="L60" t="s">
        <v>95</v>
      </c>
      <c r="M60">
        <v>363.64</v>
      </c>
      <c r="N60">
        <v>3</v>
      </c>
      <c r="O60" t="s">
        <v>96</v>
      </c>
      <c r="P60">
        <v>6</v>
      </c>
      <c r="Q60">
        <v>69</v>
      </c>
      <c r="R60" s="8">
        <v>45662</v>
      </c>
      <c r="S60" t="s">
        <v>465</v>
      </c>
      <c r="T60" s="33">
        <f t="shared" si="0"/>
        <v>7</v>
      </c>
      <c r="U60" s="33">
        <f t="shared" si="1"/>
        <v>1090.92</v>
      </c>
      <c r="V60" s="33">
        <f t="shared" si="2"/>
        <v>1159.92</v>
      </c>
      <c r="W60" s="36">
        <f t="shared" si="7"/>
        <v>0.1</v>
      </c>
      <c r="X60" s="33">
        <f t="shared" si="3"/>
        <v>1043.9280000000001</v>
      </c>
      <c r="Y60" s="33" t="str">
        <f t="shared" si="4"/>
        <v>Rebecca Figueroa</v>
      </c>
      <c r="Z60" s="33" t="str">
        <f t="shared" si="5"/>
        <v>Late</v>
      </c>
      <c r="AA60" s="33" t="str">
        <f t="shared" si="6"/>
        <v>outlook.com</v>
      </c>
    </row>
    <row r="61" spans="1:27" ht="14.25" customHeight="1" x14ac:dyDescent="0.3">
      <c r="A61" t="s">
        <v>466</v>
      </c>
      <c r="B61" t="s">
        <v>467</v>
      </c>
      <c r="C61" t="s">
        <v>468</v>
      </c>
      <c r="D61">
        <v>18</v>
      </c>
      <c r="E61" t="s">
        <v>41</v>
      </c>
      <c r="F61" t="s">
        <v>42</v>
      </c>
      <c r="G61" t="s">
        <v>469</v>
      </c>
      <c r="H61" t="s">
        <v>470</v>
      </c>
      <c r="I61" t="s">
        <v>471</v>
      </c>
      <c r="J61" s="8">
        <v>44972</v>
      </c>
      <c r="K61" t="s">
        <v>472</v>
      </c>
      <c r="L61" t="s">
        <v>473</v>
      </c>
      <c r="M61">
        <v>286.07</v>
      </c>
      <c r="N61">
        <v>3</v>
      </c>
      <c r="O61" t="s">
        <v>85</v>
      </c>
      <c r="P61">
        <v>2</v>
      </c>
      <c r="Q61">
        <v>54</v>
      </c>
      <c r="R61" s="8">
        <v>44977</v>
      </c>
      <c r="S61" t="s">
        <v>474</v>
      </c>
      <c r="T61" s="34">
        <f t="shared" si="0"/>
        <v>5</v>
      </c>
      <c r="U61" s="34">
        <f t="shared" si="1"/>
        <v>858.21</v>
      </c>
      <c r="V61" s="34">
        <f t="shared" si="2"/>
        <v>912.21</v>
      </c>
      <c r="W61" s="36">
        <f t="shared" si="7"/>
        <v>0.2</v>
      </c>
      <c r="X61" s="34">
        <f t="shared" si="3"/>
        <v>729.76800000000003</v>
      </c>
      <c r="Y61" s="34" t="str">
        <f t="shared" si="4"/>
        <v>Lori Cook</v>
      </c>
      <c r="Z61" s="34" t="str">
        <f t="shared" si="5"/>
        <v>Late</v>
      </c>
      <c r="AA61" s="34" t="str">
        <f t="shared" si="6"/>
        <v>rediffmail.com</v>
      </c>
    </row>
    <row r="62" spans="1:27" ht="14.25" customHeight="1" x14ac:dyDescent="0.3">
      <c r="A62" t="s">
        <v>475</v>
      </c>
      <c r="B62" t="s">
        <v>108</v>
      </c>
      <c r="C62" t="s">
        <v>476</v>
      </c>
      <c r="D62">
        <v>33</v>
      </c>
      <c r="E62" t="s">
        <v>29</v>
      </c>
      <c r="F62" t="s">
        <v>168</v>
      </c>
      <c r="G62" t="s">
        <v>477</v>
      </c>
      <c r="H62" t="s">
        <v>478</v>
      </c>
      <c r="I62" t="s">
        <v>479</v>
      </c>
      <c r="J62" s="8">
        <v>45435</v>
      </c>
      <c r="K62" t="s">
        <v>480</v>
      </c>
      <c r="L62" t="s">
        <v>481</v>
      </c>
      <c r="M62">
        <v>87.09</v>
      </c>
      <c r="N62">
        <v>4</v>
      </c>
      <c r="O62" t="s">
        <v>63</v>
      </c>
      <c r="P62">
        <v>6</v>
      </c>
      <c r="Q62">
        <v>63</v>
      </c>
      <c r="R62" s="8">
        <v>45439</v>
      </c>
      <c r="S62" t="s">
        <v>482</v>
      </c>
      <c r="T62" s="33">
        <f t="shared" si="0"/>
        <v>4</v>
      </c>
      <c r="U62" s="33">
        <f t="shared" si="1"/>
        <v>348.36</v>
      </c>
      <c r="V62" s="33">
        <f t="shared" si="2"/>
        <v>411.36</v>
      </c>
      <c r="W62" s="36">
        <f t="shared" si="7"/>
        <v>0</v>
      </c>
      <c r="X62" s="33">
        <f t="shared" si="3"/>
        <v>411.36</v>
      </c>
      <c r="Y62" s="33" t="str">
        <f t="shared" si="4"/>
        <v>Debra Hayes</v>
      </c>
      <c r="Z62" s="33" t="str">
        <f t="shared" si="5"/>
        <v>BeforeTime</v>
      </c>
      <c r="AA62" s="33" t="str">
        <f t="shared" si="6"/>
        <v>yahoo.com</v>
      </c>
    </row>
    <row r="63" spans="1:27" ht="14.25" customHeight="1" x14ac:dyDescent="0.3">
      <c r="A63" t="s">
        <v>483</v>
      </c>
      <c r="B63" t="s">
        <v>484</v>
      </c>
      <c r="C63" t="s">
        <v>130</v>
      </c>
      <c r="D63">
        <v>68</v>
      </c>
      <c r="E63" t="s">
        <v>52</v>
      </c>
      <c r="F63" t="s">
        <v>220</v>
      </c>
      <c r="G63" t="s">
        <v>485</v>
      </c>
      <c r="H63" t="s">
        <v>486</v>
      </c>
      <c r="I63" t="s">
        <v>487</v>
      </c>
      <c r="J63" s="8">
        <v>45002</v>
      </c>
      <c r="K63" t="s">
        <v>488</v>
      </c>
      <c r="L63" t="s">
        <v>105</v>
      </c>
      <c r="M63">
        <v>275.44</v>
      </c>
      <c r="N63">
        <v>4</v>
      </c>
      <c r="O63" t="s">
        <v>36</v>
      </c>
      <c r="P63">
        <v>4</v>
      </c>
      <c r="Q63">
        <v>40</v>
      </c>
      <c r="R63" s="8">
        <v>45007</v>
      </c>
      <c r="S63" t="s">
        <v>489</v>
      </c>
      <c r="T63" s="34">
        <f t="shared" si="0"/>
        <v>5</v>
      </c>
      <c r="U63" s="34">
        <f t="shared" si="1"/>
        <v>1101.76</v>
      </c>
      <c r="V63" s="34">
        <f t="shared" si="2"/>
        <v>1141.76</v>
      </c>
      <c r="W63" s="36">
        <f t="shared" si="7"/>
        <v>0.08</v>
      </c>
      <c r="X63" s="34">
        <f t="shared" si="3"/>
        <v>1050.4192</v>
      </c>
      <c r="Y63" s="34" t="str">
        <f t="shared" si="4"/>
        <v>Brittany Stewart</v>
      </c>
      <c r="Z63" s="34" t="str">
        <f t="shared" si="5"/>
        <v>Late</v>
      </c>
      <c r="AA63" s="34" t="str">
        <f t="shared" si="6"/>
        <v>gmail.com</v>
      </c>
    </row>
    <row r="64" spans="1:27" ht="14.25" customHeight="1" x14ac:dyDescent="0.3">
      <c r="A64" t="s">
        <v>490</v>
      </c>
      <c r="B64" t="s">
        <v>186</v>
      </c>
      <c r="C64" t="s">
        <v>327</v>
      </c>
      <c r="D64">
        <v>39</v>
      </c>
      <c r="E64" t="s">
        <v>52</v>
      </c>
      <c r="F64" t="s">
        <v>42</v>
      </c>
      <c r="G64" t="s">
        <v>491</v>
      </c>
      <c r="H64" t="s">
        <v>492</v>
      </c>
      <c r="I64" t="s">
        <v>493</v>
      </c>
      <c r="J64" s="8">
        <v>45680</v>
      </c>
      <c r="K64" t="s">
        <v>494</v>
      </c>
      <c r="L64" t="s">
        <v>495</v>
      </c>
      <c r="M64">
        <v>421.7</v>
      </c>
      <c r="N64">
        <v>1</v>
      </c>
      <c r="O64" t="s">
        <v>96</v>
      </c>
      <c r="P64">
        <v>3</v>
      </c>
      <c r="Q64">
        <v>59</v>
      </c>
      <c r="R64" s="8">
        <v>45684</v>
      </c>
      <c r="S64" t="s">
        <v>496</v>
      </c>
      <c r="T64" s="33">
        <f t="shared" si="0"/>
        <v>4</v>
      </c>
      <c r="U64" s="33">
        <f t="shared" si="1"/>
        <v>421.7</v>
      </c>
      <c r="V64" s="33">
        <f t="shared" si="2"/>
        <v>480.7</v>
      </c>
      <c r="W64" s="36">
        <f t="shared" si="7"/>
        <v>0.1</v>
      </c>
      <c r="X64" s="33">
        <f t="shared" si="3"/>
        <v>432.63</v>
      </c>
      <c r="Y64" s="33" t="str">
        <f t="shared" si="4"/>
        <v>Mitchell Parker</v>
      </c>
      <c r="Z64" s="33" t="str">
        <f t="shared" si="5"/>
        <v>Late</v>
      </c>
      <c r="AA64" s="33" t="str">
        <f t="shared" si="6"/>
        <v>yahoo.com</v>
      </c>
    </row>
    <row r="65" spans="1:27" ht="14.25" customHeight="1" x14ac:dyDescent="0.3">
      <c r="A65" t="s">
        <v>227</v>
      </c>
      <c r="B65" t="s">
        <v>228</v>
      </c>
      <c r="C65" t="s">
        <v>229</v>
      </c>
      <c r="D65">
        <v>64</v>
      </c>
      <c r="E65" t="s">
        <v>41</v>
      </c>
      <c r="F65" t="s">
        <v>42</v>
      </c>
      <c r="G65" t="s">
        <v>230</v>
      </c>
      <c r="H65" t="s">
        <v>231</v>
      </c>
      <c r="I65" t="s">
        <v>497</v>
      </c>
      <c r="J65" s="8">
        <v>45629</v>
      </c>
      <c r="K65" t="s">
        <v>498</v>
      </c>
      <c r="L65" t="s">
        <v>173</v>
      </c>
      <c r="M65">
        <v>272.51</v>
      </c>
      <c r="N65">
        <v>1</v>
      </c>
      <c r="O65" t="s">
        <v>85</v>
      </c>
      <c r="P65">
        <v>4</v>
      </c>
      <c r="Q65">
        <v>43</v>
      </c>
      <c r="R65" s="8">
        <v>45630</v>
      </c>
      <c r="S65" t="s">
        <v>499</v>
      </c>
      <c r="T65" s="34">
        <f t="shared" si="0"/>
        <v>1</v>
      </c>
      <c r="U65" s="34">
        <f t="shared" si="1"/>
        <v>272.51</v>
      </c>
      <c r="V65" s="34">
        <f t="shared" si="2"/>
        <v>315.51</v>
      </c>
      <c r="W65" s="36">
        <f t="shared" si="7"/>
        <v>0.2</v>
      </c>
      <c r="X65" s="34">
        <f t="shared" si="3"/>
        <v>252.40800000000002</v>
      </c>
      <c r="Y65" s="34" t="str">
        <f t="shared" si="4"/>
        <v>John Herrera</v>
      </c>
      <c r="Z65" s="34" t="str">
        <f t="shared" si="5"/>
        <v>BeforeTime</v>
      </c>
      <c r="AA65" s="34" t="str">
        <f t="shared" si="6"/>
        <v>outlook.com</v>
      </c>
    </row>
    <row r="66" spans="1:27" ht="14.25" customHeight="1" x14ac:dyDescent="0.3">
      <c r="A66" t="s">
        <v>500</v>
      </c>
      <c r="B66" t="s">
        <v>501</v>
      </c>
      <c r="C66" t="s">
        <v>387</v>
      </c>
      <c r="D66">
        <v>57</v>
      </c>
      <c r="E66" t="s">
        <v>41</v>
      </c>
      <c r="F66" t="s">
        <v>220</v>
      </c>
      <c r="G66" t="s">
        <v>502</v>
      </c>
      <c r="H66" t="s">
        <v>503</v>
      </c>
      <c r="I66" t="s">
        <v>504</v>
      </c>
      <c r="J66" s="8">
        <v>45346</v>
      </c>
      <c r="K66" t="s">
        <v>505</v>
      </c>
      <c r="L66" t="s">
        <v>135</v>
      </c>
      <c r="M66">
        <v>175.93</v>
      </c>
      <c r="N66">
        <v>3</v>
      </c>
      <c r="O66" t="s">
        <v>36</v>
      </c>
      <c r="P66">
        <v>4</v>
      </c>
      <c r="Q66">
        <v>46</v>
      </c>
      <c r="R66" s="8">
        <v>45351</v>
      </c>
      <c r="S66" t="s">
        <v>506</v>
      </c>
      <c r="T66" s="33">
        <f t="shared" ref="T66:T129" si="8">R66-J66</f>
        <v>5</v>
      </c>
      <c r="U66" s="33">
        <f t="shared" ref="U66:U129" si="9">M66*N66</f>
        <v>527.79</v>
      </c>
      <c r="V66" s="33">
        <f t="shared" ref="V66:V129" si="10">U66+Q66</f>
        <v>573.79</v>
      </c>
      <c r="W66" s="36">
        <f t="shared" si="7"/>
        <v>0.08</v>
      </c>
      <c r="X66" s="33">
        <f t="shared" ref="X66:X129" si="11">V66*(1-W66)</f>
        <v>527.88679999999999</v>
      </c>
      <c r="Y66" s="33" t="str">
        <f t="shared" ref="Y66:Y129" si="12">B66&amp;" "&amp;C66</f>
        <v>Sharon Thompson</v>
      </c>
      <c r="Z66" s="33" t="str">
        <f t="shared" ref="Z66:Z129" si="13">IF(T66&gt;P66,"Late",IF(T66&lt;P66,"BeforeTime","Intime"))</f>
        <v>Late</v>
      </c>
      <c r="AA66" s="33" t="str">
        <f t="shared" ref="AA66:AA129" si="14">MID(G66,FIND("@",G66)+1,LEN(G66)-FIND("@",G66))</f>
        <v>yahoo.com</v>
      </c>
    </row>
    <row r="67" spans="1:27" ht="14.25" customHeight="1" x14ac:dyDescent="0.3">
      <c r="A67" t="s">
        <v>507</v>
      </c>
      <c r="B67" t="s">
        <v>508</v>
      </c>
      <c r="C67" t="s">
        <v>509</v>
      </c>
      <c r="D67">
        <v>64</v>
      </c>
      <c r="E67" t="s">
        <v>29</v>
      </c>
      <c r="F67" t="s">
        <v>30</v>
      </c>
      <c r="G67" t="s">
        <v>510</v>
      </c>
      <c r="H67" t="s">
        <v>511</v>
      </c>
      <c r="I67" t="s">
        <v>512</v>
      </c>
      <c r="J67" s="8">
        <v>45503</v>
      </c>
      <c r="K67" t="s">
        <v>513</v>
      </c>
      <c r="L67" t="s">
        <v>514</v>
      </c>
      <c r="M67">
        <v>136.30000000000001</v>
      </c>
      <c r="N67">
        <v>5</v>
      </c>
      <c r="O67" t="s">
        <v>58</v>
      </c>
      <c r="P67">
        <v>6</v>
      </c>
      <c r="Q67">
        <v>39</v>
      </c>
      <c r="R67" s="8">
        <v>45510</v>
      </c>
      <c r="S67" t="s">
        <v>515</v>
      </c>
      <c r="T67" s="34">
        <f t="shared" si="8"/>
        <v>7</v>
      </c>
      <c r="U67" s="34">
        <f t="shared" si="9"/>
        <v>681.5</v>
      </c>
      <c r="V67" s="34">
        <f t="shared" si="10"/>
        <v>720.5</v>
      </c>
      <c r="W67" s="36">
        <f t="shared" ref="W67:W130" si="15">IF(O67="FLAT8",0.08,IF(O67="FLAT10",0.1,IF(O67="FLAT15",0.15,IF(O67="FLAT20",0.2,0))))</f>
        <v>0.15</v>
      </c>
      <c r="X67" s="34">
        <f t="shared" si="11"/>
        <v>612.42499999999995</v>
      </c>
      <c r="Y67" s="34" t="str">
        <f t="shared" si="12"/>
        <v>Sarah Butler</v>
      </c>
      <c r="Z67" s="34" t="str">
        <f t="shared" si="13"/>
        <v>Late</v>
      </c>
      <c r="AA67" s="34" t="str">
        <f t="shared" si="14"/>
        <v>rediffmail.com</v>
      </c>
    </row>
    <row r="68" spans="1:27" ht="14.25" customHeight="1" x14ac:dyDescent="0.3">
      <c r="A68" t="s">
        <v>255</v>
      </c>
      <c r="B68" t="s">
        <v>256</v>
      </c>
      <c r="C68" t="s">
        <v>257</v>
      </c>
      <c r="D68">
        <v>60</v>
      </c>
      <c r="E68" t="s">
        <v>52</v>
      </c>
      <c r="F68" t="s">
        <v>30</v>
      </c>
      <c r="G68" t="s">
        <v>258</v>
      </c>
      <c r="H68" t="s">
        <v>259</v>
      </c>
      <c r="I68" t="s">
        <v>516</v>
      </c>
      <c r="J68" s="8">
        <v>45451</v>
      </c>
      <c r="K68" t="s">
        <v>517</v>
      </c>
      <c r="L68" t="s">
        <v>518</v>
      </c>
      <c r="M68">
        <v>441.03</v>
      </c>
      <c r="N68">
        <v>2</v>
      </c>
      <c r="O68" t="s">
        <v>96</v>
      </c>
      <c r="P68">
        <v>3</v>
      </c>
      <c r="Q68">
        <v>49</v>
      </c>
      <c r="R68" s="8">
        <v>45458</v>
      </c>
      <c r="S68" t="s">
        <v>519</v>
      </c>
      <c r="T68" s="33">
        <f t="shared" si="8"/>
        <v>7</v>
      </c>
      <c r="U68" s="33">
        <f t="shared" si="9"/>
        <v>882.06</v>
      </c>
      <c r="V68" s="33">
        <f t="shared" si="10"/>
        <v>931.06</v>
      </c>
      <c r="W68" s="36">
        <f t="shared" si="15"/>
        <v>0.1</v>
      </c>
      <c r="X68" s="33">
        <f t="shared" si="11"/>
        <v>837.95399999999995</v>
      </c>
      <c r="Y68" s="33" t="str">
        <f t="shared" si="12"/>
        <v>Ashley Rose</v>
      </c>
      <c r="Z68" s="33" t="str">
        <f t="shared" si="13"/>
        <v>Late</v>
      </c>
      <c r="AA68" s="33" t="str">
        <f t="shared" si="14"/>
        <v>gmail.com</v>
      </c>
    </row>
    <row r="69" spans="1:27" ht="14.25" customHeight="1" x14ac:dyDescent="0.3">
      <c r="A69" t="s">
        <v>520</v>
      </c>
      <c r="B69" t="s">
        <v>521</v>
      </c>
      <c r="C69" t="s">
        <v>522</v>
      </c>
      <c r="D69">
        <v>42</v>
      </c>
      <c r="E69" t="s">
        <v>52</v>
      </c>
      <c r="F69" t="s">
        <v>76</v>
      </c>
      <c r="G69" t="s">
        <v>523</v>
      </c>
      <c r="H69" t="s">
        <v>524</v>
      </c>
      <c r="I69" t="s">
        <v>525</v>
      </c>
      <c r="J69" s="8">
        <v>45322</v>
      </c>
      <c r="K69" t="s">
        <v>526</v>
      </c>
      <c r="L69" t="s">
        <v>430</v>
      </c>
      <c r="M69">
        <v>369.03</v>
      </c>
      <c r="N69">
        <v>4</v>
      </c>
      <c r="O69" t="s">
        <v>85</v>
      </c>
      <c r="P69">
        <v>7</v>
      </c>
      <c r="Q69">
        <v>52</v>
      </c>
      <c r="R69" s="8">
        <v>45327</v>
      </c>
      <c r="S69" t="s">
        <v>527</v>
      </c>
      <c r="T69" s="34">
        <f t="shared" si="8"/>
        <v>5</v>
      </c>
      <c r="U69" s="34">
        <f t="shared" si="9"/>
        <v>1476.12</v>
      </c>
      <c r="V69" s="34">
        <f t="shared" si="10"/>
        <v>1528.12</v>
      </c>
      <c r="W69" s="36">
        <f t="shared" si="15"/>
        <v>0.2</v>
      </c>
      <c r="X69" s="34">
        <f t="shared" si="11"/>
        <v>1222.4959999999999</v>
      </c>
      <c r="Y69" s="34" t="str">
        <f t="shared" si="12"/>
        <v>Katherine Weber</v>
      </c>
      <c r="Z69" s="34" t="str">
        <f t="shared" si="13"/>
        <v>BeforeTime</v>
      </c>
      <c r="AA69" s="34" t="str">
        <f t="shared" si="14"/>
        <v>outlook.com</v>
      </c>
    </row>
    <row r="70" spans="1:27" ht="14.25" customHeight="1" x14ac:dyDescent="0.3">
      <c r="A70" t="s">
        <v>528</v>
      </c>
      <c r="B70" t="s">
        <v>394</v>
      </c>
      <c r="C70" t="s">
        <v>529</v>
      </c>
      <c r="D70">
        <v>51</v>
      </c>
      <c r="E70" t="s">
        <v>52</v>
      </c>
      <c r="F70" t="s">
        <v>140</v>
      </c>
      <c r="G70" t="s">
        <v>530</v>
      </c>
      <c r="H70" t="s">
        <v>531</v>
      </c>
      <c r="I70" t="s">
        <v>532</v>
      </c>
      <c r="J70" s="8">
        <v>45277</v>
      </c>
      <c r="K70" t="s">
        <v>533</v>
      </c>
      <c r="L70" t="s">
        <v>356</v>
      </c>
      <c r="M70">
        <v>496.59</v>
      </c>
      <c r="N70">
        <v>4</v>
      </c>
      <c r="O70" t="s">
        <v>58</v>
      </c>
      <c r="P70">
        <v>7</v>
      </c>
      <c r="Q70">
        <v>36</v>
      </c>
      <c r="R70" s="8">
        <v>45280</v>
      </c>
      <c r="S70" t="s">
        <v>534</v>
      </c>
      <c r="T70" s="33">
        <f t="shared" si="8"/>
        <v>3</v>
      </c>
      <c r="U70" s="33">
        <f t="shared" si="9"/>
        <v>1986.36</v>
      </c>
      <c r="V70" s="33">
        <f t="shared" si="10"/>
        <v>2022.36</v>
      </c>
      <c r="W70" s="36">
        <f t="shared" si="15"/>
        <v>0.15</v>
      </c>
      <c r="X70" s="33">
        <f t="shared" si="11"/>
        <v>1719.0059999999999</v>
      </c>
      <c r="Y70" s="33" t="str">
        <f t="shared" si="12"/>
        <v>Jason Nguyen</v>
      </c>
      <c r="Z70" s="33" t="str">
        <f t="shared" si="13"/>
        <v>BeforeTime</v>
      </c>
      <c r="AA70" s="33" t="str">
        <f t="shared" si="14"/>
        <v>yahoo.com</v>
      </c>
    </row>
    <row r="71" spans="1:27" ht="14.25" customHeight="1" x14ac:dyDescent="0.3">
      <c r="A71" t="s">
        <v>535</v>
      </c>
      <c r="B71" t="s">
        <v>536</v>
      </c>
      <c r="C71" t="s">
        <v>537</v>
      </c>
      <c r="D71">
        <v>32</v>
      </c>
      <c r="E71" t="s">
        <v>52</v>
      </c>
      <c r="F71" t="s">
        <v>90</v>
      </c>
      <c r="G71" t="s">
        <v>538</v>
      </c>
      <c r="H71" t="s">
        <v>539</v>
      </c>
      <c r="I71" t="s">
        <v>540</v>
      </c>
      <c r="J71" s="8">
        <v>45586</v>
      </c>
      <c r="K71" t="s">
        <v>541</v>
      </c>
      <c r="L71" t="s">
        <v>356</v>
      </c>
      <c r="M71">
        <v>496.59</v>
      </c>
      <c r="N71">
        <v>2</v>
      </c>
      <c r="O71" t="s">
        <v>36</v>
      </c>
      <c r="P71">
        <v>5</v>
      </c>
      <c r="Q71">
        <v>41</v>
      </c>
      <c r="R71" s="8">
        <v>45588</v>
      </c>
      <c r="S71" t="s">
        <v>542</v>
      </c>
      <c r="T71" s="34">
        <f t="shared" si="8"/>
        <v>2</v>
      </c>
      <c r="U71" s="34">
        <f t="shared" si="9"/>
        <v>993.18</v>
      </c>
      <c r="V71" s="34">
        <f t="shared" si="10"/>
        <v>1034.1799999999998</v>
      </c>
      <c r="W71" s="36">
        <f t="shared" si="15"/>
        <v>0.08</v>
      </c>
      <c r="X71" s="34">
        <f t="shared" si="11"/>
        <v>951.4455999999999</v>
      </c>
      <c r="Y71" s="34" t="str">
        <f t="shared" si="12"/>
        <v>Brandon Cruz</v>
      </c>
      <c r="Z71" s="34" t="str">
        <f t="shared" si="13"/>
        <v>BeforeTime</v>
      </c>
      <c r="AA71" s="34" t="str">
        <f t="shared" si="14"/>
        <v>gmail.com</v>
      </c>
    </row>
    <row r="72" spans="1:27" ht="14.25" customHeight="1" x14ac:dyDescent="0.3">
      <c r="A72" t="s">
        <v>26</v>
      </c>
      <c r="B72" t="s">
        <v>27</v>
      </c>
      <c r="C72" t="s">
        <v>28</v>
      </c>
      <c r="D72">
        <v>37</v>
      </c>
      <c r="E72" t="s">
        <v>29</v>
      </c>
      <c r="F72" t="s">
        <v>30</v>
      </c>
      <c r="G72" t="s">
        <v>31</v>
      </c>
      <c r="H72" t="s">
        <v>32</v>
      </c>
      <c r="I72" t="s">
        <v>543</v>
      </c>
      <c r="J72" s="8">
        <v>45567</v>
      </c>
      <c r="K72" t="s">
        <v>544</v>
      </c>
      <c r="L72" t="s">
        <v>35</v>
      </c>
      <c r="M72">
        <v>308.88</v>
      </c>
      <c r="N72">
        <v>1</v>
      </c>
      <c r="O72" t="s">
        <v>63</v>
      </c>
      <c r="P72">
        <v>6</v>
      </c>
      <c r="Q72">
        <v>62</v>
      </c>
      <c r="R72" s="8">
        <v>45569</v>
      </c>
      <c r="S72" t="s">
        <v>545</v>
      </c>
      <c r="T72" s="33">
        <f t="shared" si="8"/>
        <v>2</v>
      </c>
      <c r="U72" s="33">
        <f t="shared" si="9"/>
        <v>308.88</v>
      </c>
      <c r="V72" s="33">
        <f t="shared" si="10"/>
        <v>370.88</v>
      </c>
      <c r="W72" s="36">
        <f t="shared" si="15"/>
        <v>0</v>
      </c>
      <c r="X72" s="33">
        <f t="shared" si="11"/>
        <v>370.88</v>
      </c>
      <c r="Y72" s="33" t="str">
        <f t="shared" si="12"/>
        <v>Anne Oconnell</v>
      </c>
      <c r="Z72" s="33" t="str">
        <f t="shared" si="13"/>
        <v>BeforeTime</v>
      </c>
      <c r="AA72" s="33" t="str">
        <f t="shared" si="14"/>
        <v>outlook.com</v>
      </c>
    </row>
    <row r="73" spans="1:27" ht="14.25" customHeight="1" x14ac:dyDescent="0.3">
      <c r="A73" t="s">
        <v>546</v>
      </c>
      <c r="B73" t="s">
        <v>547</v>
      </c>
      <c r="C73" t="s">
        <v>548</v>
      </c>
      <c r="D73">
        <v>33</v>
      </c>
      <c r="E73" t="s">
        <v>52</v>
      </c>
      <c r="F73" t="s">
        <v>168</v>
      </c>
      <c r="G73" t="s">
        <v>549</v>
      </c>
      <c r="H73" t="s">
        <v>550</v>
      </c>
      <c r="I73" t="s">
        <v>551</v>
      </c>
      <c r="J73" s="8">
        <v>45495</v>
      </c>
      <c r="K73" t="s">
        <v>552</v>
      </c>
      <c r="L73" t="s">
        <v>553</v>
      </c>
      <c r="M73">
        <v>425.59</v>
      </c>
      <c r="N73">
        <v>4</v>
      </c>
      <c r="O73" t="s">
        <v>63</v>
      </c>
      <c r="P73">
        <v>6</v>
      </c>
      <c r="Q73">
        <v>53</v>
      </c>
      <c r="R73" s="8">
        <v>45496</v>
      </c>
      <c r="S73" t="s">
        <v>554</v>
      </c>
      <c r="T73" s="34">
        <f t="shared" si="8"/>
        <v>1</v>
      </c>
      <c r="U73" s="34">
        <f t="shared" si="9"/>
        <v>1702.36</v>
      </c>
      <c r="V73" s="34">
        <f t="shared" si="10"/>
        <v>1755.36</v>
      </c>
      <c r="W73" s="36">
        <f t="shared" si="15"/>
        <v>0</v>
      </c>
      <c r="X73" s="34">
        <f t="shared" si="11"/>
        <v>1755.36</v>
      </c>
      <c r="Y73" s="34" t="str">
        <f t="shared" si="12"/>
        <v>Jodi Whitney</v>
      </c>
      <c r="Z73" s="34" t="str">
        <f t="shared" si="13"/>
        <v>BeforeTime</v>
      </c>
      <c r="AA73" s="34" t="str">
        <f t="shared" si="14"/>
        <v>yahoo.com</v>
      </c>
    </row>
    <row r="74" spans="1:27" ht="14.25" customHeight="1" x14ac:dyDescent="0.3">
      <c r="A74" t="s">
        <v>217</v>
      </c>
      <c r="B74" t="s">
        <v>218</v>
      </c>
      <c r="C74" t="s">
        <v>219</v>
      </c>
      <c r="D74">
        <v>33</v>
      </c>
      <c r="E74" t="s">
        <v>52</v>
      </c>
      <c r="F74" t="s">
        <v>220</v>
      </c>
      <c r="G74" t="s">
        <v>221</v>
      </c>
      <c r="H74" t="s">
        <v>222</v>
      </c>
      <c r="I74" t="s">
        <v>555</v>
      </c>
      <c r="J74" s="8">
        <v>45355</v>
      </c>
      <c r="K74" t="s">
        <v>556</v>
      </c>
      <c r="L74" t="s">
        <v>35</v>
      </c>
      <c r="M74">
        <v>308.88</v>
      </c>
      <c r="N74">
        <v>1</v>
      </c>
      <c r="O74" t="s">
        <v>96</v>
      </c>
      <c r="P74">
        <v>1</v>
      </c>
      <c r="Q74">
        <v>56</v>
      </c>
      <c r="R74" s="8">
        <v>45360</v>
      </c>
      <c r="S74" t="s">
        <v>557</v>
      </c>
      <c r="T74" s="33">
        <f t="shared" si="8"/>
        <v>5</v>
      </c>
      <c r="U74" s="33">
        <f t="shared" si="9"/>
        <v>308.88</v>
      </c>
      <c r="V74" s="33">
        <f t="shared" si="10"/>
        <v>364.88</v>
      </c>
      <c r="W74" s="36">
        <f t="shared" si="15"/>
        <v>0.1</v>
      </c>
      <c r="X74" s="33">
        <f t="shared" si="11"/>
        <v>328.392</v>
      </c>
      <c r="Y74" s="33" t="str">
        <f t="shared" si="12"/>
        <v>Mark Henderson</v>
      </c>
      <c r="Z74" s="33" t="str">
        <f t="shared" si="13"/>
        <v>Late</v>
      </c>
      <c r="AA74" s="33" t="str">
        <f t="shared" si="14"/>
        <v>yahoo.com</v>
      </c>
    </row>
    <row r="75" spans="1:27" ht="14.25" customHeight="1" x14ac:dyDescent="0.3">
      <c r="A75" t="s">
        <v>450</v>
      </c>
      <c r="B75" t="s">
        <v>451</v>
      </c>
      <c r="C75" t="s">
        <v>452</v>
      </c>
      <c r="D75">
        <v>69</v>
      </c>
      <c r="E75" t="s">
        <v>29</v>
      </c>
      <c r="F75" t="s">
        <v>30</v>
      </c>
      <c r="G75" t="s">
        <v>453</v>
      </c>
      <c r="H75" t="s">
        <v>454</v>
      </c>
      <c r="I75" t="s">
        <v>558</v>
      </c>
      <c r="J75" s="8">
        <v>45132</v>
      </c>
      <c r="K75" t="s">
        <v>559</v>
      </c>
      <c r="L75" t="s">
        <v>383</v>
      </c>
      <c r="M75">
        <v>431.44</v>
      </c>
      <c r="N75">
        <v>5</v>
      </c>
      <c r="O75" t="s">
        <v>58</v>
      </c>
      <c r="P75">
        <v>6</v>
      </c>
      <c r="Q75">
        <v>59</v>
      </c>
      <c r="R75" s="8">
        <v>45139</v>
      </c>
      <c r="S75" t="s">
        <v>560</v>
      </c>
      <c r="T75" s="34">
        <f t="shared" si="8"/>
        <v>7</v>
      </c>
      <c r="U75" s="34">
        <f t="shared" si="9"/>
        <v>2157.1999999999998</v>
      </c>
      <c r="V75" s="34">
        <f t="shared" si="10"/>
        <v>2216.1999999999998</v>
      </c>
      <c r="W75" s="36">
        <f t="shared" si="15"/>
        <v>0.15</v>
      </c>
      <c r="X75" s="34">
        <f t="shared" si="11"/>
        <v>1883.7699999999998</v>
      </c>
      <c r="Y75" s="34" t="str">
        <f t="shared" si="12"/>
        <v>Brian Kennedy</v>
      </c>
      <c r="Z75" s="34" t="str">
        <f t="shared" si="13"/>
        <v>Late</v>
      </c>
      <c r="AA75" s="34" t="str">
        <f t="shared" si="14"/>
        <v>outlook.com</v>
      </c>
    </row>
    <row r="76" spans="1:27" ht="14.25" customHeight="1" x14ac:dyDescent="0.3">
      <c r="A76" t="s">
        <v>450</v>
      </c>
      <c r="B76" t="s">
        <v>451</v>
      </c>
      <c r="C76" t="s">
        <v>452</v>
      </c>
      <c r="D76">
        <v>69</v>
      </c>
      <c r="E76" t="s">
        <v>29</v>
      </c>
      <c r="F76" t="s">
        <v>30</v>
      </c>
      <c r="G76" t="s">
        <v>453</v>
      </c>
      <c r="H76" t="s">
        <v>454</v>
      </c>
      <c r="I76" t="s">
        <v>561</v>
      </c>
      <c r="J76" s="8">
        <v>45650</v>
      </c>
      <c r="K76" t="s">
        <v>562</v>
      </c>
      <c r="L76" t="s">
        <v>563</v>
      </c>
      <c r="M76">
        <v>133.62</v>
      </c>
      <c r="N76">
        <v>2</v>
      </c>
      <c r="O76" t="s">
        <v>96</v>
      </c>
      <c r="P76">
        <v>4</v>
      </c>
      <c r="Q76">
        <v>50</v>
      </c>
      <c r="R76" s="8">
        <v>45651</v>
      </c>
      <c r="S76" t="s">
        <v>564</v>
      </c>
      <c r="T76" s="33">
        <f t="shared" si="8"/>
        <v>1</v>
      </c>
      <c r="U76" s="33">
        <f t="shared" si="9"/>
        <v>267.24</v>
      </c>
      <c r="V76" s="33">
        <f t="shared" si="10"/>
        <v>317.24</v>
      </c>
      <c r="W76" s="36">
        <f t="shared" si="15"/>
        <v>0.1</v>
      </c>
      <c r="X76" s="33">
        <f t="shared" si="11"/>
        <v>285.51600000000002</v>
      </c>
      <c r="Y76" s="33" t="str">
        <f t="shared" si="12"/>
        <v>Brian Kennedy</v>
      </c>
      <c r="Z76" s="33" t="str">
        <f t="shared" si="13"/>
        <v>BeforeTime</v>
      </c>
      <c r="AA76" s="33" t="str">
        <f t="shared" si="14"/>
        <v>outlook.com</v>
      </c>
    </row>
    <row r="77" spans="1:27" ht="14.25" customHeight="1" x14ac:dyDescent="0.3">
      <c r="A77" t="s">
        <v>280</v>
      </c>
      <c r="B77" t="s">
        <v>281</v>
      </c>
      <c r="C77" t="s">
        <v>282</v>
      </c>
      <c r="D77">
        <v>64</v>
      </c>
      <c r="E77" t="s">
        <v>52</v>
      </c>
      <c r="F77" t="s">
        <v>30</v>
      </c>
      <c r="G77" t="s">
        <v>283</v>
      </c>
      <c r="H77" t="s">
        <v>284</v>
      </c>
      <c r="I77" t="s">
        <v>565</v>
      </c>
      <c r="J77" s="8">
        <v>45459</v>
      </c>
      <c r="K77" t="s">
        <v>566</v>
      </c>
      <c r="L77" t="s">
        <v>95</v>
      </c>
      <c r="M77">
        <v>363.64</v>
      </c>
      <c r="N77">
        <v>3</v>
      </c>
      <c r="O77" t="s">
        <v>63</v>
      </c>
      <c r="P77">
        <v>7</v>
      </c>
      <c r="Q77">
        <v>41</v>
      </c>
      <c r="R77" s="8">
        <v>45461</v>
      </c>
      <c r="S77" t="s">
        <v>567</v>
      </c>
      <c r="T77" s="34">
        <f t="shared" si="8"/>
        <v>2</v>
      </c>
      <c r="U77" s="34">
        <f t="shared" si="9"/>
        <v>1090.92</v>
      </c>
      <c r="V77" s="34">
        <f t="shared" si="10"/>
        <v>1131.92</v>
      </c>
      <c r="W77" s="36">
        <f t="shared" si="15"/>
        <v>0</v>
      </c>
      <c r="X77" s="34">
        <f t="shared" si="11"/>
        <v>1131.92</v>
      </c>
      <c r="Y77" s="34" t="str">
        <f t="shared" si="12"/>
        <v>Teresa Harvey</v>
      </c>
      <c r="Z77" s="34" t="str">
        <f t="shared" si="13"/>
        <v>BeforeTime</v>
      </c>
      <c r="AA77" s="34" t="str">
        <f t="shared" si="14"/>
        <v>gmail.com</v>
      </c>
    </row>
    <row r="78" spans="1:27" ht="14.25" customHeight="1" x14ac:dyDescent="0.3">
      <c r="A78" t="s">
        <v>38</v>
      </c>
      <c r="B78" t="s">
        <v>39</v>
      </c>
      <c r="C78" t="s">
        <v>40</v>
      </c>
      <c r="D78">
        <v>53</v>
      </c>
      <c r="E78" t="s">
        <v>41</v>
      </c>
      <c r="F78" t="s">
        <v>42</v>
      </c>
      <c r="G78" t="s">
        <v>43</v>
      </c>
      <c r="H78" t="s">
        <v>44</v>
      </c>
      <c r="I78" t="s">
        <v>568</v>
      </c>
      <c r="J78" s="8">
        <v>45041</v>
      </c>
      <c r="K78" t="s">
        <v>569</v>
      </c>
      <c r="L78" t="s">
        <v>250</v>
      </c>
      <c r="M78">
        <v>128.13999999999999</v>
      </c>
      <c r="N78">
        <v>1</v>
      </c>
      <c r="O78" t="s">
        <v>36</v>
      </c>
      <c r="P78">
        <v>7</v>
      </c>
      <c r="Q78">
        <v>70</v>
      </c>
      <c r="R78" s="8">
        <v>45045</v>
      </c>
      <c r="S78" t="s">
        <v>570</v>
      </c>
      <c r="T78" s="33">
        <f t="shared" si="8"/>
        <v>4</v>
      </c>
      <c r="U78" s="33">
        <f t="shared" si="9"/>
        <v>128.13999999999999</v>
      </c>
      <c r="V78" s="33">
        <f t="shared" si="10"/>
        <v>198.14</v>
      </c>
      <c r="W78" s="36">
        <f t="shared" si="15"/>
        <v>0.08</v>
      </c>
      <c r="X78" s="33">
        <f t="shared" si="11"/>
        <v>182.28880000000001</v>
      </c>
      <c r="Y78" s="33" t="str">
        <f t="shared" si="12"/>
        <v>Anthony Thomas</v>
      </c>
      <c r="Z78" s="33" t="str">
        <f t="shared" si="13"/>
        <v>BeforeTime</v>
      </c>
      <c r="AA78" s="33" t="str">
        <f t="shared" si="14"/>
        <v>rediffmail.com</v>
      </c>
    </row>
    <row r="79" spans="1:27" ht="14.25" customHeight="1" x14ac:dyDescent="0.3">
      <c r="A79" t="s">
        <v>385</v>
      </c>
      <c r="B79" t="s">
        <v>386</v>
      </c>
      <c r="C79" t="s">
        <v>387</v>
      </c>
      <c r="D79">
        <v>47</v>
      </c>
      <c r="E79" t="s">
        <v>41</v>
      </c>
      <c r="F79" t="s">
        <v>90</v>
      </c>
      <c r="G79" t="s">
        <v>388</v>
      </c>
      <c r="H79" t="s">
        <v>389</v>
      </c>
      <c r="I79" t="s">
        <v>571</v>
      </c>
      <c r="J79" s="8">
        <v>45683</v>
      </c>
      <c r="K79" t="s">
        <v>572</v>
      </c>
      <c r="L79" t="s">
        <v>573</v>
      </c>
      <c r="M79">
        <v>477.52</v>
      </c>
      <c r="N79">
        <v>2</v>
      </c>
      <c r="O79" t="s">
        <v>36</v>
      </c>
      <c r="P79">
        <v>6</v>
      </c>
      <c r="Q79">
        <v>55</v>
      </c>
      <c r="R79" s="8">
        <v>45685</v>
      </c>
      <c r="S79" t="s">
        <v>574</v>
      </c>
      <c r="T79" s="34">
        <f t="shared" si="8"/>
        <v>2</v>
      </c>
      <c r="U79" s="34">
        <f t="shared" si="9"/>
        <v>955.04</v>
      </c>
      <c r="V79" s="34">
        <f t="shared" si="10"/>
        <v>1010.04</v>
      </c>
      <c r="W79" s="36">
        <f t="shared" si="15"/>
        <v>0.08</v>
      </c>
      <c r="X79" s="34">
        <f t="shared" si="11"/>
        <v>929.23680000000002</v>
      </c>
      <c r="Y79" s="34" t="str">
        <f t="shared" si="12"/>
        <v>Aaron Thompson</v>
      </c>
      <c r="Z79" s="34" t="str">
        <f t="shared" si="13"/>
        <v>BeforeTime</v>
      </c>
      <c r="AA79" s="34" t="str">
        <f t="shared" si="14"/>
        <v>gmail.com</v>
      </c>
    </row>
    <row r="80" spans="1:27" ht="14.25" customHeight="1" x14ac:dyDescent="0.3">
      <c r="A80" t="s">
        <v>575</v>
      </c>
      <c r="B80" t="s">
        <v>256</v>
      </c>
      <c r="C80" t="s">
        <v>576</v>
      </c>
      <c r="D80">
        <v>35</v>
      </c>
      <c r="E80" t="s">
        <v>29</v>
      </c>
      <c r="F80" t="s">
        <v>30</v>
      </c>
      <c r="G80" t="s">
        <v>577</v>
      </c>
      <c r="H80" t="s">
        <v>578</v>
      </c>
      <c r="I80" t="s">
        <v>579</v>
      </c>
      <c r="J80" s="8">
        <v>45054</v>
      </c>
      <c r="K80" t="s">
        <v>580</v>
      </c>
      <c r="L80" t="s">
        <v>242</v>
      </c>
      <c r="M80">
        <v>126.19</v>
      </c>
      <c r="N80">
        <v>3</v>
      </c>
      <c r="O80" t="s">
        <v>63</v>
      </c>
      <c r="P80">
        <v>5</v>
      </c>
      <c r="Q80">
        <v>40</v>
      </c>
      <c r="R80" s="8">
        <v>45058</v>
      </c>
      <c r="S80" t="s">
        <v>581</v>
      </c>
      <c r="T80" s="33">
        <f t="shared" si="8"/>
        <v>4</v>
      </c>
      <c r="U80" s="33">
        <f t="shared" si="9"/>
        <v>378.57</v>
      </c>
      <c r="V80" s="33">
        <f t="shared" si="10"/>
        <v>418.57</v>
      </c>
      <c r="W80" s="36">
        <f t="shared" si="15"/>
        <v>0</v>
      </c>
      <c r="X80" s="33">
        <f t="shared" si="11"/>
        <v>418.57</v>
      </c>
      <c r="Y80" s="33" t="str">
        <f t="shared" si="12"/>
        <v>Ashley Romero</v>
      </c>
      <c r="Z80" s="33" t="str">
        <f t="shared" si="13"/>
        <v>BeforeTime</v>
      </c>
      <c r="AA80" s="33" t="str">
        <f t="shared" si="14"/>
        <v>yahoo.com</v>
      </c>
    </row>
    <row r="81" spans="1:27" ht="14.25" customHeight="1" x14ac:dyDescent="0.3">
      <c r="A81" t="s">
        <v>412</v>
      </c>
      <c r="B81" t="s">
        <v>228</v>
      </c>
      <c r="C81" t="s">
        <v>413</v>
      </c>
      <c r="D81">
        <v>28</v>
      </c>
      <c r="E81" t="s">
        <v>52</v>
      </c>
      <c r="F81" t="s">
        <v>140</v>
      </c>
      <c r="G81" t="s">
        <v>414</v>
      </c>
      <c r="H81" t="s">
        <v>415</v>
      </c>
      <c r="I81" t="s">
        <v>582</v>
      </c>
      <c r="J81" s="8">
        <v>45443</v>
      </c>
      <c r="K81" t="s">
        <v>583</v>
      </c>
      <c r="L81" t="s">
        <v>323</v>
      </c>
      <c r="M81">
        <v>481.48</v>
      </c>
      <c r="N81">
        <v>4</v>
      </c>
      <c r="O81" t="s">
        <v>96</v>
      </c>
      <c r="P81">
        <v>1</v>
      </c>
      <c r="Q81">
        <v>36</v>
      </c>
      <c r="R81" s="8">
        <v>45447</v>
      </c>
      <c r="S81" t="s">
        <v>584</v>
      </c>
      <c r="T81" s="34">
        <f t="shared" si="8"/>
        <v>4</v>
      </c>
      <c r="U81" s="34">
        <f t="shared" si="9"/>
        <v>1925.92</v>
      </c>
      <c r="V81" s="34">
        <f t="shared" si="10"/>
        <v>1961.92</v>
      </c>
      <c r="W81" s="36">
        <f t="shared" si="15"/>
        <v>0.1</v>
      </c>
      <c r="X81" s="34">
        <f t="shared" si="11"/>
        <v>1765.7280000000001</v>
      </c>
      <c r="Y81" s="34" t="str">
        <f t="shared" si="12"/>
        <v>John Ramirez</v>
      </c>
      <c r="Z81" s="34" t="str">
        <f t="shared" si="13"/>
        <v>Late</v>
      </c>
      <c r="AA81" s="34" t="str">
        <f t="shared" si="14"/>
        <v>outlook.com</v>
      </c>
    </row>
    <row r="82" spans="1:27" ht="14.25" customHeight="1" x14ac:dyDescent="0.3">
      <c r="A82" t="s">
        <v>475</v>
      </c>
      <c r="B82" t="s">
        <v>108</v>
      </c>
      <c r="C82" t="s">
        <v>476</v>
      </c>
      <c r="D82">
        <v>33</v>
      </c>
      <c r="E82" t="s">
        <v>29</v>
      </c>
      <c r="F82" t="s">
        <v>168</v>
      </c>
      <c r="G82" t="s">
        <v>477</v>
      </c>
      <c r="H82" t="s">
        <v>478</v>
      </c>
      <c r="I82" t="s">
        <v>585</v>
      </c>
      <c r="J82" s="8">
        <v>45675</v>
      </c>
      <c r="K82" t="s">
        <v>586</v>
      </c>
      <c r="L82" t="s">
        <v>35</v>
      </c>
      <c r="M82">
        <v>308.88</v>
      </c>
      <c r="N82">
        <v>3</v>
      </c>
      <c r="O82" t="s">
        <v>58</v>
      </c>
      <c r="P82">
        <v>4</v>
      </c>
      <c r="Q82">
        <v>48</v>
      </c>
      <c r="R82" s="8">
        <v>45678</v>
      </c>
      <c r="S82" t="s">
        <v>587</v>
      </c>
      <c r="T82" s="33">
        <f t="shared" si="8"/>
        <v>3</v>
      </c>
      <c r="U82" s="33">
        <f t="shared" si="9"/>
        <v>926.64</v>
      </c>
      <c r="V82" s="33">
        <f t="shared" si="10"/>
        <v>974.64</v>
      </c>
      <c r="W82" s="36">
        <f t="shared" si="15"/>
        <v>0.15</v>
      </c>
      <c r="X82" s="33">
        <f t="shared" si="11"/>
        <v>828.44399999999996</v>
      </c>
      <c r="Y82" s="33" t="str">
        <f t="shared" si="12"/>
        <v>Debra Hayes</v>
      </c>
      <c r="Z82" s="33" t="str">
        <f t="shared" si="13"/>
        <v>BeforeTime</v>
      </c>
      <c r="AA82" s="33" t="str">
        <f t="shared" si="14"/>
        <v>yahoo.com</v>
      </c>
    </row>
    <row r="83" spans="1:27" ht="14.25" customHeight="1" x14ac:dyDescent="0.3">
      <c r="A83" t="s">
        <v>209</v>
      </c>
      <c r="B83" t="s">
        <v>210</v>
      </c>
      <c r="C83" t="s">
        <v>211</v>
      </c>
      <c r="D83">
        <v>39</v>
      </c>
      <c r="E83" t="s">
        <v>41</v>
      </c>
      <c r="F83" t="s">
        <v>159</v>
      </c>
      <c r="G83" t="s">
        <v>212</v>
      </c>
      <c r="H83" t="s">
        <v>213</v>
      </c>
      <c r="I83" t="s">
        <v>588</v>
      </c>
      <c r="J83" s="8">
        <v>45525</v>
      </c>
      <c r="K83" t="s">
        <v>589</v>
      </c>
      <c r="L83" t="s">
        <v>590</v>
      </c>
      <c r="M83">
        <v>403.03</v>
      </c>
      <c r="N83">
        <v>1</v>
      </c>
      <c r="O83" t="s">
        <v>85</v>
      </c>
      <c r="P83">
        <v>3</v>
      </c>
      <c r="Q83">
        <v>52</v>
      </c>
      <c r="R83" s="8">
        <v>45526</v>
      </c>
      <c r="S83" t="s">
        <v>591</v>
      </c>
      <c r="T83" s="34">
        <f t="shared" si="8"/>
        <v>1</v>
      </c>
      <c r="U83" s="34">
        <f t="shared" si="9"/>
        <v>403.03</v>
      </c>
      <c r="V83" s="34">
        <f t="shared" si="10"/>
        <v>455.03</v>
      </c>
      <c r="W83" s="36">
        <f t="shared" si="15"/>
        <v>0.2</v>
      </c>
      <c r="X83" s="34">
        <f t="shared" si="11"/>
        <v>364.024</v>
      </c>
      <c r="Y83" s="34" t="str">
        <f t="shared" si="12"/>
        <v>Christian Clayton</v>
      </c>
      <c r="Z83" s="34" t="str">
        <f t="shared" si="13"/>
        <v>BeforeTime</v>
      </c>
      <c r="AA83" s="34" t="str">
        <f t="shared" si="14"/>
        <v>yahoo.com</v>
      </c>
    </row>
    <row r="84" spans="1:27" ht="14.25" customHeight="1" x14ac:dyDescent="0.3">
      <c r="A84" t="s">
        <v>592</v>
      </c>
      <c r="B84" t="s">
        <v>593</v>
      </c>
      <c r="C84" t="s">
        <v>594</v>
      </c>
      <c r="D84">
        <v>21</v>
      </c>
      <c r="E84" t="s">
        <v>29</v>
      </c>
      <c r="F84" t="s">
        <v>42</v>
      </c>
      <c r="G84" t="s">
        <v>595</v>
      </c>
      <c r="H84" t="s">
        <v>596</v>
      </c>
      <c r="I84" t="s">
        <v>597</v>
      </c>
      <c r="J84" s="8">
        <v>45041</v>
      </c>
      <c r="K84" t="s">
        <v>598</v>
      </c>
      <c r="L84" t="s">
        <v>81</v>
      </c>
      <c r="M84">
        <v>330.11</v>
      </c>
      <c r="N84">
        <v>2</v>
      </c>
      <c r="O84" t="s">
        <v>36</v>
      </c>
      <c r="P84">
        <v>3</v>
      </c>
      <c r="Q84">
        <v>64</v>
      </c>
      <c r="R84" s="8">
        <v>45046</v>
      </c>
      <c r="S84" t="s">
        <v>599</v>
      </c>
      <c r="T84" s="33">
        <f t="shared" si="8"/>
        <v>5</v>
      </c>
      <c r="U84" s="33">
        <f t="shared" si="9"/>
        <v>660.22</v>
      </c>
      <c r="V84" s="33">
        <f t="shared" si="10"/>
        <v>724.22</v>
      </c>
      <c r="W84" s="36">
        <f t="shared" si="15"/>
        <v>0.08</v>
      </c>
      <c r="X84" s="33">
        <f t="shared" si="11"/>
        <v>666.28240000000005</v>
      </c>
      <c r="Y84" s="33" t="str">
        <f t="shared" si="12"/>
        <v>William Mann</v>
      </c>
      <c r="Z84" s="33" t="str">
        <f t="shared" si="13"/>
        <v>Late</v>
      </c>
      <c r="AA84" s="33" t="str">
        <f t="shared" si="14"/>
        <v>yahoo.com</v>
      </c>
    </row>
    <row r="85" spans="1:27" ht="14.25" customHeight="1" x14ac:dyDescent="0.3">
      <c r="A85" t="s">
        <v>412</v>
      </c>
      <c r="B85" t="s">
        <v>228</v>
      </c>
      <c r="C85" t="s">
        <v>413</v>
      </c>
      <c r="D85">
        <v>28</v>
      </c>
      <c r="E85" t="s">
        <v>52</v>
      </c>
      <c r="F85" t="s">
        <v>140</v>
      </c>
      <c r="G85" t="s">
        <v>414</v>
      </c>
      <c r="H85" t="s">
        <v>415</v>
      </c>
      <c r="I85" t="s">
        <v>600</v>
      </c>
      <c r="J85" s="8">
        <v>45322</v>
      </c>
      <c r="K85" t="s">
        <v>601</v>
      </c>
      <c r="L85" t="s">
        <v>270</v>
      </c>
      <c r="M85">
        <v>62.42</v>
      </c>
      <c r="N85">
        <v>1</v>
      </c>
      <c r="O85" t="s">
        <v>85</v>
      </c>
      <c r="P85">
        <v>6</v>
      </c>
      <c r="Q85">
        <v>53</v>
      </c>
      <c r="R85" s="8">
        <v>45329</v>
      </c>
      <c r="S85" t="s">
        <v>602</v>
      </c>
      <c r="T85" s="34">
        <f t="shared" si="8"/>
        <v>7</v>
      </c>
      <c r="U85" s="34">
        <f t="shared" si="9"/>
        <v>62.42</v>
      </c>
      <c r="V85" s="34">
        <f t="shared" si="10"/>
        <v>115.42</v>
      </c>
      <c r="W85" s="36">
        <f t="shared" si="15"/>
        <v>0.2</v>
      </c>
      <c r="X85" s="34">
        <f t="shared" si="11"/>
        <v>92.336000000000013</v>
      </c>
      <c r="Y85" s="34" t="str">
        <f t="shared" si="12"/>
        <v>John Ramirez</v>
      </c>
      <c r="Z85" s="34" t="str">
        <f t="shared" si="13"/>
        <v>Late</v>
      </c>
      <c r="AA85" s="34" t="str">
        <f t="shared" si="14"/>
        <v>outlook.com</v>
      </c>
    </row>
    <row r="86" spans="1:27" ht="14.25" customHeight="1" x14ac:dyDescent="0.3">
      <c r="A86" t="s">
        <v>603</v>
      </c>
      <c r="B86" t="s">
        <v>604</v>
      </c>
      <c r="C86" t="s">
        <v>403</v>
      </c>
      <c r="D86">
        <v>18</v>
      </c>
      <c r="E86" t="s">
        <v>41</v>
      </c>
      <c r="F86" t="s">
        <v>42</v>
      </c>
      <c r="G86" t="s">
        <v>605</v>
      </c>
      <c r="H86" t="s">
        <v>606</v>
      </c>
      <c r="I86" t="s">
        <v>607</v>
      </c>
      <c r="J86" s="8">
        <v>45625</v>
      </c>
      <c r="K86" t="s">
        <v>608</v>
      </c>
      <c r="L86" t="s">
        <v>81</v>
      </c>
      <c r="M86">
        <v>330.11</v>
      </c>
      <c r="N86">
        <v>1</v>
      </c>
      <c r="O86" t="s">
        <v>85</v>
      </c>
      <c r="P86">
        <v>4</v>
      </c>
      <c r="Q86">
        <v>67</v>
      </c>
      <c r="R86" s="8">
        <v>45627</v>
      </c>
      <c r="S86" t="s">
        <v>609</v>
      </c>
      <c r="T86" s="33">
        <f t="shared" si="8"/>
        <v>2</v>
      </c>
      <c r="U86" s="33">
        <f t="shared" si="9"/>
        <v>330.11</v>
      </c>
      <c r="V86" s="33">
        <f t="shared" si="10"/>
        <v>397.11</v>
      </c>
      <c r="W86" s="36">
        <f t="shared" si="15"/>
        <v>0.2</v>
      </c>
      <c r="X86" s="33">
        <f t="shared" si="11"/>
        <v>317.68800000000005</v>
      </c>
      <c r="Y86" s="33" t="str">
        <f t="shared" si="12"/>
        <v>Kelli Smith</v>
      </c>
      <c r="Z86" s="33" t="str">
        <f t="shared" si="13"/>
        <v>BeforeTime</v>
      </c>
      <c r="AA86" s="33" t="str">
        <f t="shared" si="14"/>
        <v>rediffmail.com</v>
      </c>
    </row>
    <row r="87" spans="1:27" ht="14.25" customHeight="1" x14ac:dyDescent="0.3">
      <c r="A87" t="s">
        <v>293</v>
      </c>
      <c r="B87" t="s">
        <v>294</v>
      </c>
      <c r="C87" t="s">
        <v>295</v>
      </c>
      <c r="D87">
        <v>48</v>
      </c>
      <c r="E87" t="s">
        <v>41</v>
      </c>
      <c r="F87" t="s">
        <v>90</v>
      </c>
      <c r="G87" t="s">
        <v>296</v>
      </c>
      <c r="H87" t="s">
        <v>297</v>
      </c>
      <c r="I87" t="s">
        <v>610</v>
      </c>
      <c r="J87" s="8">
        <v>45505</v>
      </c>
      <c r="K87" t="s">
        <v>611</v>
      </c>
      <c r="L87" t="s">
        <v>114</v>
      </c>
      <c r="M87">
        <v>48.45</v>
      </c>
      <c r="N87">
        <v>1</v>
      </c>
      <c r="O87" t="s">
        <v>58</v>
      </c>
      <c r="P87">
        <v>6</v>
      </c>
      <c r="Q87">
        <v>66</v>
      </c>
      <c r="R87" s="8">
        <v>45512</v>
      </c>
      <c r="S87" t="s">
        <v>612</v>
      </c>
      <c r="T87" s="34">
        <f t="shared" si="8"/>
        <v>7</v>
      </c>
      <c r="U87" s="34">
        <f t="shared" si="9"/>
        <v>48.45</v>
      </c>
      <c r="V87" s="34">
        <f t="shared" si="10"/>
        <v>114.45</v>
      </c>
      <c r="W87" s="36">
        <f t="shared" si="15"/>
        <v>0.15</v>
      </c>
      <c r="X87" s="34">
        <f t="shared" si="11"/>
        <v>97.282499999999999</v>
      </c>
      <c r="Y87" s="34" t="str">
        <f t="shared" si="12"/>
        <v>Heather Schneider</v>
      </c>
      <c r="Z87" s="34" t="str">
        <f t="shared" si="13"/>
        <v>Late</v>
      </c>
      <c r="AA87" s="34" t="str">
        <f t="shared" si="14"/>
        <v>outlook.com</v>
      </c>
    </row>
    <row r="88" spans="1:27" ht="14.25" customHeight="1" x14ac:dyDescent="0.3">
      <c r="A88" t="s">
        <v>500</v>
      </c>
      <c r="B88" t="s">
        <v>501</v>
      </c>
      <c r="C88" t="s">
        <v>387</v>
      </c>
      <c r="D88">
        <v>57</v>
      </c>
      <c r="E88" t="s">
        <v>41</v>
      </c>
      <c r="F88" t="s">
        <v>220</v>
      </c>
      <c r="G88" t="s">
        <v>502</v>
      </c>
      <c r="H88" t="s">
        <v>503</v>
      </c>
      <c r="I88" t="s">
        <v>613</v>
      </c>
      <c r="J88" s="8">
        <v>45252</v>
      </c>
      <c r="K88" t="s">
        <v>614</v>
      </c>
      <c r="L88" t="s">
        <v>62</v>
      </c>
      <c r="M88">
        <v>405</v>
      </c>
      <c r="N88">
        <v>2</v>
      </c>
      <c r="O88" t="s">
        <v>63</v>
      </c>
      <c r="P88">
        <v>4</v>
      </c>
      <c r="Q88">
        <v>70</v>
      </c>
      <c r="R88" s="8">
        <v>45257</v>
      </c>
      <c r="S88" t="s">
        <v>615</v>
      </c>
      <c r="T88" s="33">
        <f t="shared" si="8"/>
        <v>5</v>
      </c>
      <c r="U88" s="33">
        <f t="shared" si="9"/>
        <v>810</v>
      </c>
      <c r="V88" s="33">
        <f t="shared" si="10"/>
        <v>880</v>
      </c>
      <c r="W88" s="36">
        <f t="shared" si="15"/>
        <v>0</v>
      </c>
      <c r="X88" s="33">
        <f t="shared" si="11"/>
        <v>880</v>
      </c>
      <c r="Y88" s="33" t="str">
        <f t="shared" si="12"/>
        <v>Sharon Thompson</v>
      </c>
      <c r="Z88" s="33" t="str">
        <f t="shared" si="13"/>
        <v>Late</v>
      </c>
      <c r="AA88" s="33" t="str">
        <f t="shared" si="14"/>
        <v>yahoo.com</v>
      </c>
    </row>
    <row r="89" spans="1:27" ht="14.25" customHeight="1" x14ac:dyDescent="0.3">
      <c r="A89" t="s">
        <v>500</v>
      </c>
      <c r="B89" t="s">
        <v>501</v>
      </c>
      <c r="C89" t="s">
        <v>387</v>
      </c>
      <c r="D89">
        <v>57</v>
      </c>
      <c r="E89" t="s">
        <v>41</v>
      </c>
      <c r="F89" t="s">
        <v>220</v>
      </c>
      <c r="G89" t="s">
        <v>502</v>
      </c>
      <c r="H89" t="s">
        <v>503</v>
      </c>
      <c r="I89" t="s">
        <v>616</v>
      </c>
      <c r="J89" s="8">
        <v>45595</v>
      </c>
      <c r="K89" t="s">
        <v>617</v>
      </c>
      <c r="L89" t="s">
        <v>356</v>
      </c>
      <c r="M89">
        <v>496.59</v>
      </c>
      <c r="N89">
        <v>2</v>
      </c>
      <c r="O89" t="s">
        <v>96</v>
      </c>
      <c r="P89">
        <v>1</v>
      </c>
      <c r="Q89">
        <v>46</v>
      </c>
      <c r="R89" s="8">
        <v>45598</v>
      </c>
      <c r="S89" t="s">
        <v>618</v>
      </c>
      <c r="T89" s="34">
        <f t="shared" si="8"/>
        <v>3</v>
      </c>
      <c r="U89" s="34">
        <f t="shared" si="9"/>
        <v>993.18</v>
      </c>
      <c r="V89" s="34">
        <f t="shared" si="10"/>
        <v>1039.1799999999998</v>
      </c>
      <c r="W89" s="36">
        <f t="shared" si="15"/>
        <v>0.1</v>
      </c>
      <c r="X89" s="34">
        <f t="shared" si="11"/>
        <v>935.26199999999983</v>
      </c>
      <c r="Y89" s="34" t="str">
        <f t="shared" si="12"/>
        <v>Sharon Thompson</v>
      </c>
      <c r="Z89" s="34" t="str">
        <f t="shared" si="13"/>
        <v>Late</v>
      </c>
      <c r="AA89" s="34" t="str">
        <f t="shared" si="14"/>
        <v>yahoo.com</v>
      </c>
    </row>
    <row r="90" spans="1:27" ht="14.25" customHeight="1" x14ac:dyDescent="0.3">
      <c r="A90" t="s">
        <v>98</v>
      </c>
      <c r="B90" t="s">
        <v>99</v>
      </c>
      <c r="C90" t="s">
        <v>100</v>
      </c>
      <c r="D90">
        <v>39</v>
      </c>
      <c r="E90" t="s">
        <v>29</v>
      </c>
      <c r="F90" t="s">
        <v>30</v>
      </c>
      <c r="G90" t="s">
        <v>101</v>
      </c>
      <c r="H90" t="s">
        <v>102</v>
      </c>
      <c r="I90" t="s">
        <v>619</v>
      </c>
      <c r="J90" s="8">
        <v>45227</v>
      </c>
      <c r="K90" t="s">
        <v>620</v>
      </c>
      <c r="L90" t="s">
        <v>114</v>
      </c>
      <c r="M90">
        <v>48.45</v>
      </c>
      <c r="N90">
        <v>1</v>
      </c>
      <c r="O90" t="s">
        <v>85</v>
      </c>
      <c r="P90">
        <v>4</v>
      </c>
      <c r="Q90">
        <v>66</v>
      </c>
      <c r="R90" s="8">
        <v>45228</v>
      </c>
      <c r="S90" t="s">
        <v>621</v>
      </c>
      <c r="T90" s="33">
        <f t="shared" si="8"/>
        <v>1</v>
      </c>
      <c r="U90" s="33">
        <f t="shared" si="9"/>
        <v>48.45</v>
      </c>
      <c r="V90" s="33">
        <f t="shared" si="10"/>
        <v>114.45</v>
      </c>
      <c r="W90" s="36">
        <f t="shared" si="15"/>
        <v>0.2</v>
      </c>
      <c r="X90" s="33">
        <f t="shared" si="11"/>
        <v>91.56</v>
      </c>
      <c r="Y90" s="33" t="str">
        <f t="shared" si="12"/>
        <v>Marcus Valenzuela</v>
      </c>
      <c r="Z90" s="33" t="str">
        <f t="shared" si="13"/>
        <v>BeforeTime</v>
      </c>
      <c r="AA90" s="33" t="str">
        <f t="shared" si="14"/>
        <v>yahoo.com</v>
      </c>
    </row>
    <row r="91" spans="1:27" ht="14.25" customHeight="1" x14ac:dyDescent="0.3">
      <c r="A91" t="s">
        <v>622</v>
      </c>
      <c r="B91" t="s">
        <v>129</v>
      </c>
      <c r="C91" t="s">
        <v>623</v>
      </c>
      <c r="D91">
        <v>47</v>
      </c>
      <c r="E91" t="s">
        <v>52</v>
      </c>
      <c r="F91" t="s">
        <v>76</v>
      </c>
      <c r="G91" t="s">
        <v>624</v>
      </c>
      <c r="H91" t="s">
        <v>625</v>
      </c>
      <c r="I91" t="s">
        <v>626</v>
      </c>
      <c r="J91" s="8">
        <v>45076</v>
      </c>
      <c r="K91" t="s">
        <v>627</v>
      </c>
      <c r="L91" t="s">
        <v>383</v>
      </c>
      <c r="M91">
        <v>431.44</v>
      </c>
      <c r="N91">
        <v>1</v>
      </c>
      <c r="O91" t="s">
        <v>63</v>
      </c>
      <c r="P91">
        <v>7</v>
      </c>
      <c r="Q91">
        <v>35</v>
      </c>
      <c r="R91" s="8">
        <v>45080</v>
      </c>
      <c r="S91" t="s">
        <v>628</v>
      </c>
      <c r="T91" s="34">
        <f t="shared" si="8"/>
        <v>4</v>
      </c>
      <c r="U91" s="34">
        <f t="shared" si="9"/>
        <v>431.44</v>
      </c>
      <c r="V91" s="34">
        <f t="shared" si="10"/>
        <v>466.44</v>
      </c>
      <c r="W91" s="36">
        <f t="shared" si="15"/>
        <v>0</v>
      </c>
      <c r="X91" s="34">
        <f t="shared" si="11"/>
        <v>466.44</v>
      </c>
      <c r="Y91" s="34" t="str">
        <f t="shared" si="12"/>
        <v>Joseph Gaines</v>
      </c>
      <c r="Z91" s="34" t="str">
        <f t="shared" si="13"/>
        <v>BeforeTime</v>
      </c>
      <c r="AA91" s="34" t="str">
        <f t="shared" si="14"/>
        <v>outlook.com</v>
      </c>
    </row>
    <row r="92" spans="1:27" ht="14.25" customHeight="1" x14ac:dyDescent="0.3">
      <c r="A92" t="s">
        <v>156</v>
      </c>
      <c r="B92" t="s">
        <v>157</v>
      </c>
      <c r="C92" t="s">
        <v>158</v>
      </c>
      <c r="D92">
        <v>24</v>
      </c>
      <c r="E92" t="s">
        <v>29</v>
      </c>
      <c r="F92" t="s">
        <v>159</v>
      </c>
      <c r="G92" t="s">
        <v>160</v>
      </c>
      <c r="H92" t="s">
        <v>161</v>
      </c>
      <c r="I92" t="s">
        <v>629</v>
      </c>
      <c r="J92" s="8">
        <v>45555</v>
      </c>
      <c r="K92" t="s">
        <v>630</v>
      </c>
      <c r="L92" t="s">
        <v>473</v>
      </c>
      <c r="M92">
        <v>286.07</v>
      </c>
      <c r="N92">
        <v>5</v>
      </c>
      <c r="O92" t="s">
        <v>58</v>
      </c>
      <c r="P92">
        <v>5</v>
      </c>
      <c r="Q92">
        <v>65</v>
      </c>
      <c r="R92" s="8">
        <v>45558</v>
      </c>
      <c r="S92" t="s">
        <v>631</v>
      </c>
      <c r="T92" s="33">
        <f t="shared" si="8"/>
        <v>3</v>
      </c>
      <c r="U92" s="33">
        <f t="shared" si="9"/>
        <v>1430.35</v>
      </c>
      <c r="V92" s="33">
        <f t="shared" si="10"/>
        <v>1495.35</v>
      </c>
      <c r="W92" s="36">
        <f t="shared" si="15"/>
        <v>0.15</v>
      </c>
      <c r="X92" s="33">
        <f t="shared" si="11"/>
        <v>1271.0474999999999</v>
      </c>
      <c r="Y92" s="33" t="str">
        <f t="shared" si="12"/>
        <v>Joshua Campbell</v>
      </c>
      <c r="Z92" s="33" t="str">
        <f t="shared" si="13"/>
        <v>BeforeTime</v>
      </c>
      <c r="AA92" s="33" t="str">
        <f t="shared" si="14"/>
        <v>gmail.com</v>
      </c>
    </row>
    <row r="93" spans="1:27" ht="14.25" customHeight="1" x14ac:dyDescent="0.3">
      <c r="A93" t="s">
        <v>412</v>
      </c>
      <c r="B93" t="s">
        <v>228</v>
      </c>
      <c r="C93" t="s">
        <v>413</v>
      </c>
      <c r="D93">
        <v>28</v>
      </c>
      <c r="E93" t="s">
        <v>52</v>
      </c>
      <c r="F93" t="s">
        <v>140</v>
      </c>
      <c r="G93" t="s">
        <v>414</v>
      </c>
      <c r="H93" t="s">
        <v>415</v>
      </c>
      <c r="I93" t="s">
        <v>632</v>
      </c>
      <c r="J93" s="8">
        <v>45495</v>
      </c>
      <c r="K93" t="s">
        <v>633</v>
      </c>
      <c r="L93" t="s">
        <v>242</v>
      </c>
      <c r="M93">
        <v>126.19</v>
      </c>
      <c r="N93">
        <v>2</v>
      </c>
      <c r="O93" t="s">
        <v>36</v>
      </c>
      <c r="P93">
        <v>7</v>
      </c>
      <c r="Q93">
        <v>48</v>
      </c>
      <c r="R93" s="8">
        <v>45496</v>
      </c>
      <c r="S93" t="s">
        <v>634</v>
      </c>
      <c r="T93" s="34">
        <f t="shared" si="8"/>
        <v>1</v>
      </c>
      <c r="U93" s="34">
        <f t="shared" si="9"/>
        <v>252.38</v>
      </c>
      <c r="V93" s="34">
        <f t="shared" si="10"/>
        <v>300.38</v>
      </c>
      <c r="W93" s="36">
        <f t="shared" si="15"/>
        <v>0.08</v>
      </c>
      <c r="X93" s="34">
        <f t="shared" si="11"/>
        <v>276.34960000000001</v>
      </c>
      <c r="Y93" s="34" t="str">
        <f t="shared" si="12"/>
        <v>John Ramirez</v>
      </c>
      <c r="Z93" s="34" t="str">
        <f t="shared" si="13"/>
        <v>BeforeTime</v>
      </c>
      <c r="AA93" s="34" t="str">
        <f t="shared" si="14"/>
        <v>outlook.com</v>
      </c>
    </row>
    <row r="94" spans="1:27" ht="14.25" customHeight="1" x14ac:dyDescent="0.3">
      <c r="A94" t="s">
        <v>272</v>
      </c>
      <c r="B94" t="s">
        <v>273</v>
      </c>
      <c r="C94" t="s">
        <v>274</v>
      </c>
      <c r="D94">
        <v>44</v>
      </c>
      <c r="E94" t="s">
        <v>29</v>
      </c>
      <c r="F94" t="s">
        <v>220</v>
      </c>
      <c r="G94" t="s">
        <v>275</v>
      </c>
      <c r="H94" t="s">
        <v>276</v>
      </c>
      <c r="I94" t="s">
        <v>635</v>
      </c>
      <c r="J94" s="8">
        <v>45307</v>
      </c>
      <c r="K94" t="s">
        <v>636</v>
      </c>
      <c r="L94" t="s">
        <v>637</v>
      </c>
      <c r="M94">
        <v>445.81</v>
      </c>
      <c r="N94">
        <v>5</v>
      </c>
      <c r="O94" t="s">
        <v>58</v>
      </c>
      <c r="P94">
        <v>1</v>
      </c>
      <c r="Q94">
        <v>56</v>
      </c>
      <c r="R94" s="8">
        <v>45313</v>
      </c>
      <c r="S94" t="s">
        <v>638</v>
      </c>
      <c r="T94" s="33">
        <f t="shared" si="8"/>
        <v>6</v>
      </c>
      <c r="U94" s="33">
        <f t="shared" si="9"/>
        <v>2229.0500000000002</v>
      </c>
      <c r="V94" s="33">
        <f t="shared" si="10"/>
        <v>2285.0500000000002</v>
      </c>
      <c r="W94" s="36">
        <f t="shared" si="15"/>
        <v>0.15</v>
      </c>
      <c r="X94" s="33">
        <f t="shared" si="11"/>
        <v>1942.2925</v>
      </c>
      <c r="Y94" s="33" t="str">
        <f t="shared" si="12"/>
        <v>Lauren Long</v>
      </c>
      <c r="Z94" s="33" t="str">
        <f t="shared" si="13"/>
        <v>Late</v>
      </c>
      <c r="AA94" s="33" t="str">
        <f t="shared" si="14"/>
        <v>gmail.com</v>
      </c>
    </row>
    <row r="95" spans="1:27" ht="14.25" customHeight="1" x14ac:dyDescent="0.3">
      <c r="A95" t="s">
        <v>639</v>
      </c>
      <c r="B95" t="s">
        <v>148</v>
      </c>
      <c r="C95" t="s">
        <v>640</v>
      </c>
      <c r="D95">
        <v>44</v>
      </c>
      <c r="E95" t="s">
        <v>52</v>
      </c>
      <c r="F95" t="s">
        <v>90</v>
      </c>
      <c r="G95" t="s">
        <v>641</v>
      </c>
      <c r="H95" t="s">
        <v>642</v>
      </c>
      <c r="I95" t="s">
        <v>643</v>
      </c>
      <c r="J95" s="8">
        <v>45625</v>
      </c>
      <c r="K95" t="s">
        <v>644</v>
      </c>
      <c r="L95" t="s">
        <v>430</v>
      </c>
      <c r="M95">
        <v>369.03</v>
      </c>
      <c r="N95">
        <v>4</v>
      </c>
      <c r="O95" t="s">
        <v>85</v>
      </c>
      <c r="P95">
        <v>4</v>
      </c>
      <c r="Q95">
        <v>56</v>
      </c>
      <c r="R95" s="8">
        <v>45630</v>
      </c>
      <c r="S95" t="s">
        <v>645</v>
      </c>
      <c r="T95" s="34">
        <f t="shared" si="8"/>
        <v>5</v>
      </c>
      <c r="U95" s="34">
        <f t="shared" si="9"/>
        <v>1476.12</v>
      </c>
      <c r="V95" s="34">
        <f t="shared" si="10"/>
        <v>1532.12</v>
      </c>
      <c r="W95" s="36">
        <f t="shared" si="15"/>
        <v>0.2</v>
      </c>
      <c r="X95" s="34">
        <f t="shared" si="11"/>
        <v>1225.6959999999999</v>
      </c>
      <c r="Y95" s="34" t="str">
        <f t="shared" si="12"/>
        <v>Amy Ellis</v>
      </c>
      <c r="Z95" s="34" t="str">
        <f t="shared" si="13"/>
        <v>Late</v>
      </c>
      <c r="AA95" s="34" t="str">
        <f t="shared" si="14"/>
        <v>gmail.com</v>
      </c>
    </row>
    <row r="96" spans="1:27" ht="14.25" customHeight="1" x14ac:dyDescent="0.3">
      <c r="A96" t="s">
        <v>646</v>
      </c>
      <c r="B96" t="s">
        <v>647</v>
      </c>
      <c r="C96" t="s">
        <v>648</v>
      </c>
      <c r="D96">
        <v>45</v>
      </c>
      <c r="E96" t="s">
        <v>52</v>
      </c>
      <c r="F96" t="s">
        <v>90</v>
      </c>
      <c r="G96" t="s">
        <v>649</v>
      </c>
      <c r="H96" t="s">
        <v>650</v>
      </c>
      <c r="I96" t="s">
        <v>651</v>
      </c>
      <c r="J96" s="8">
        <v>45504</v>
      </c>
      <c r="K96" t="s">
        <v>652</v>
      </c>
      <c r="L96" t="s">
        <v>653</v>
      </c>
      <c r="M96">
        <v>433.62</v>
      </c>
      <c r="N96">
        <v>2</v>
      </c>
      <c r="O96" t="s">
        <v>85</v>
      </c>
      <c r="P96">
        <v>1</v>
      </c>
      <c r="Q96">
        <v>41</v>
      </c>
      <c r="R96" s="8">
        <v>45510</v>
      </c>
      <c r="S96" t="s">
        <v>654</v>
      </c>
      <c r="T96" s="33">
        <f t="shared" si="8"/>
        <v>6</v>
      </c>
      <c r="U96" s="33">
        <f t="shared" si="9"/>
        <v>867.24</v>
      </c>
      <c r="V96" s="33">
        <f t="shared" si="10"/>
        <v>908.24</v>
      </c>
      <c r="W96" s="36">
        <f t="shared" si="15"/>
        <v>0.2</v>
      </c>
      <c r="X96" s="33">
        <f t="shared" si="11"/>
        <v>726.5920000000001</v>
      </c>
      <c r="Y96" s="33" t="str">
        <f t="shared" si="12"/>
        <v>Beth Mason</v>
      </c>
      <c r="Z96" s="33" t="str">
        <f t="shared" si="13"/>
        <v>Late</v>
      </c>
      <c r="AA96" s="33" t="str">
        <f t="shared" si="14"/>
        <v>outlook.com</v>
      </c>
    </row>
    <row r="97" spans="1:27" ht="14.25" customHeight="1" x14ac:dyDescent="0.3">
      <c r="A97" t="s">
        <v>507</v>
      </c>
      <c r="B97" t="s">
        <v>508</v>
      </c>
      <c r="C97" t="s">
        <v>509</v>
      </c>
      <c r="D97">
        <v>64</v>
      </c>
      <c r="E97" t="s">
        <v>29</v>
      </c>
      <c r="F97" t="s">
        <v>30</v>
      </c>
      <c r="G97" t="s">
        <v>510</v>
      </c>
      <c r="H97" t="s">
        <v>511</v>
      </c>
      <c r="I97" t="s">
        <v>655</v>
      </c>
      <c r="J97" s="8">
        <v>45488</v>
      </c>
      <c r="K97" t="s">
        <v>656</v>
      </c>
      <c r="L97" t="s">
        <v>657</v>
      </c>
      <c r="M97">
        <v>235.63</v>
      </c>
      <c r="N97">
        <v>4</v>
      </c>
      <c r="O97" t="s">
        <v>85</v>
      </c>
      <c r="P97">
        <v>2</v>
      </c>
      <c r="Q97">
        <v>60</v>
      </c>
      <c r="R97" s="8">
        <v>45495</v>
      </c>
      <c r="S97" t="s">
        <v>658</v>
      </c>
      <c r="T97" s="34">
        <f t="shared" si="8"/>
        <v>7</v>
      </c>
      <c r="U97" s="34">
        <f t="shared" si="9"/>
        <v>942.52</v>
      </c>
      <c r="V97" s="34">
        <f t="shared" si="10"/>
        <v>1002.52</v>
      </c>
      <c r="W97" s="36">
        <f t="shared" si="15"/>
        <v>0.2</v>
      </c>
      <c r="X97" s="34">
        <f t="shared" si="11"/>
        <v>802.01600000000008</v>
      </c>
      <c r="Y97" s="34" t="str">
        <f t="shared" si="12"/>
        <v>Sarah Butler</v>
      </c>
      <c r="Z97" s="34" t="str">
        <f t="shared" si="13"/>
        <v>Late</v>
      </c>
      <c r="AA97" s="34" t="str">
        <f t="shared" si="14"/>
        <v>rediffmail.com</v>
      </c>
    </row>
    <row r="98" spans="1:27" ht="14.25" customHeight="1" x14ac:dyDescent="0.3">
      <c r="A98" t="s">
        <v>227</v>
      </c>
      <c r="B98" t="s">
        <v>228</v>
      </c>
      <c r="C98" t="s">
        <v>229</v>
      </c>
      <c r="D98">
        <v>64</v>
      </c>
      <c r="E98" t="s">
        <v>41</v>
      </c>
      <c r="F98" t="s">
        <v>42</v>
      </c>
      <c r="G98" t="s">
        <v>230</v>
      </c>
      <c r="H98" t="s">
        <v>231</v>
      </c>
      <c r="I98" t="s">
        <v>659</v>
      </c>
      <c r="J98" s="8">
        <v>45118</v>
      </c>
      <c r="K98" t="s">
        <v>660</v>
      </c>
      <c r="L98" t="s">
        <v>291</v>
      </c>
      <c r="M98">
        <v>158.53</v>
      </c>
      <c r="N98">
        <v>5</v>
      </c>
      <c r="O98" t="s">
        <v>85</v>
      </c>
      <c r="P98">
        <v>1</v>
      </c>
      <c r="Q98">
        <v>57</v>
      </c>
      <c r="R98" s="8">
        <v>45125</v>
      </c>
      <c r="S98" t="s">
        <v>661</v>
      </c>
      <c r="T98" s="33">
        <f t="shared" si="8"/>
        <v>7</v>
      </c>
      <c r="U98" s="33">
        <f t="shared" si="9"/>
        <v>792.65</v>
      </c>
      <c r="V98" s="33">
        <f t="shared" si="10"/>
        <v>849.65</v>
      </c>
      <c r="W98" s="36">
        <f t="shared" si="15"/>
        <v>0.2</v>
      </c>
      <c r="X98" s="33">
        <f t="shared" si="11"/>
        <v>679.72</v>
      </c>
      <c r="Y98" s="33" t="str">
        <f t="shared" si="12"/>
        <v>John Herrera</v>
      </c>
      <c r="Z98" s="33" t="str">
        <f t="shared" si="13"/>
        <v>Late</v>
      </c>
      <c r="AA98" s="33" t="str">
        <f t="shared" si="14"/>
        <v>outlook.com</v>
      </c>
    </row>
    <row r="99" spans="1:27" ht="14.25" customHeight="1" x14ac:dyDescent="0.3">
      <c r="A99" t="s">
        <v>227</v>
      </c>
      <c r="B99" t="s">
        <v>228</v>
      </c>
      <c r="C99" t="s">
        <v>229</v>
      </c>
      <c r="D99">
        <v>64</v>
      </c>
      <c r="E99" t="s">
        <v>41</v>
      </c>
      <c r="F99" t="s">
        <v>42</v>
      </c>
      <c r="G99" t="s">
        <v>230</v>
      </c>
      <c r="H99" t="s">
        <v>231</v>
      </c>
      <c r="I99" t="s">
        <v>662</v>
      </c>
      <c r="J99" s="8">
        <v>45183</v>
      </c>
      <c r="K99" t="s">
        <v>663</v>
      </c>
      <c r="L99" t="s">
        <v>81</v>
      </c>
      <c r="M99">
        <v>330.11</v>
      </c>
      <c r="N99">
        <v>3</v>
      </c>
      <c r="O99" t="s">
        <v>58</v>
      </c>
      <c r="P99">
        <v>3</v>
      </c>
      <c r="Q99">
        <v>65</v>
      </c>
      <c r="R99" s="8">
        <v>45186</v>
      </c>
      <c r="S99" t="s">
        <v>664</v>
      </c>
      <c r="T99" s="34">
        <f t="shared" si="8"/>
        <v>3</v>
      </c>
      <c r="U99" s="34">
        <f t="shared" si="9"/>
        <v>990.33</v>
      </c>
      <c r="V99" s="34">
        <f t="shared" si="10"/>
        <v>1055.33</v>
      </c>
      <c r="W99" s="36">
        <f t="shared" si="15"/>
        <v>0.15</v>
      </c>
      <c r="X99" s="34">
        <f t="shared" si="11"/>
        <v>897.03049999999996</v>
      </c>
      <c r="Y99" s="34" t="str">
        <f t="shared" si="12"/>
        <v>John Herrera</v>
      </c>
      <c r="Z99" s="34" t="str">
        <f t="shared" si="13"/>
        <v>Intime</v>
      </c>
      <c r="AA99" s="34" t="str">
        <f t="shared" si="14"/>
        <v>outlook.com</v>
      </c>
    </row>
    <row r="100" spans="1:27" ht="14.25" customHeight="1" x14ac:dyDescent="0.3">
      <c r="A100" t="s">
        <v>646</v>
      </c>
      <c r="B100" t="s">
        <v>647</v>
      </c>
      <c r="C100" t="s">
        <v>648</v>
      </c>
      <c r="D100">
        <v>45</v>
      </c>
      <c r="E100" t="s">
        <v>52</v>
      </c>
      <c r="F100" t="s">
        <v>90</v>
      </c>
      <c r="G100" t="s">
        <v>649</v>
      </c>
      <c r="H100" t="s">
        <v>650</v>
      </c>
      <c r="I100" t="s">
        <v>665</v>
      </c>
      <c r="J100" s="8">
        <v>45673</v>
      </c>
      <c r="K100" t="s">
        <v>666</v>
      </c>
      <c r="L100" t="s">
        <v>154</v>
      </c>
      <c r="M100">
        <v>220.27</v>
      </c>
      <c r="N100">
        <v>2</v>
      </c>
      <c r="O100" t="s">
        <v>85</v>
      </c>
      <c r="P100">
        <v>1</v>
      </c>
      <c r="Q100">
        <v>63</v>
      </c>
      <c r="R100" s="8">
        <v>45675</v>
      </c>
      <c r="S100" t="s">
        <v>667</v>
      </c>
      <c r="T100" s="33">
        <f t="shared" si="8"/>
        <v>2</v>
      </c>
      <c r="U100" s="33">
        <f t="shared" si="9"/>
        <v>440.54</v>
      </c>
      <c r="V100" s="33">
        <f t="shared" si="10"/>
        <v>503.54</v>
      </c>
      <c r="W100" s="36">
        <f t="shared" si="15"/>
        <v>0.2</v>
      </c>
      <c r="X100" s="33">
        <f t="shared" si="11"/>
        <v>402.83200000000005</v>
      </c>
      <c r="Y100" s="33" t="str">
        <f t="shared" si="12"/>
        <v>Beth Mason</v>
      </c>
      <c r="Z100" s="33" t="str">
        <f t="shared" si="13"/>
        <v>Late</v>
      </c>
      <c r="AA100" s="33" t="str">
        <f t="shared" si="14"/>
        <v>outlook.com</v>
      </c>
    </row>
    <row r="101" spans="1:27" ht="14.25" customHeight="1" x14ac:dyDescent="0.3">
      <c r="A101" t="s">
        <v>592</v>
      </c>
      <c r="B101" t="s">
        <v>593</v>
      </c>
      <c r="C101" t="s">
        <v>594</v>
      </c>
      <c r="D101">
        <v>21</v>
      </c>
      <c r="E101" t="s">
        <v>29</v>
      </c>
      <c r="F101" t="s">
        <v>42</v>
      </c>
      <c r="G101" t="s">
        <v>595</v>
      </c>
      <c r="H101" t="s">
        <v>596</v>
      </c>
      <c r="I101" t="s">
        <v>668</v>
      </c>
      <c r="J101" s="8">
        <v>45321</v>
      </c>
      <c r="K101" t="s">
        <v>669</v>
      </c>
      <c r="L101" t="s">
        <v>105</v>
      </c>
      <c r="M101">
        <v>275.44</v>
      </c>
      <c r="N101">
        <v>3</v>
      </c>
      <c r="O101" t="s">
        <v>58</v>
      </c>
      <c r="P101">
        <v>7</v>
      </c>
      <c r="Q101">
        <v>47</v>
      </c>
      <c r="R101" s="8">
        <v>45322</v>
      </c>
      <c r="S101" t="s">
        <v>670</v>
      </c>
      <c r="T101" s="34">
        <f t="shared" si="8"/>
        <v>1</v>
      </c>
      <c r="U101" s="34">
        <f t="shared" si="9"/>
        <v>826.31999999999994</v>
      </c>
      <c r="V101" s="34">
        <f t="shared" si="10"/>
        <v>873.31999999999994</v>
      </c>
      <c r="W101" s="36">
        <f t="shared" si="15"/>
        <v>0.15</v>
      </c>
      <c r="X101" s="34">
        <f t="shared" si="11"/>
        <v>742.32199999999989</v>
      </c>
      <c r="Y101" s="34" t="str">
        <f t="shared" si="12"/>
        <v>William Mann</v>
      </c>
      <c r="Z101" s="34" t="str">
        <f t="shared" si="13"/>
        <v>BeforeTime</v>
      </c>
      <c r="AA101" s="34" t="str">
        <f t="shared" si="14"/>
        <v>yahoo.com</v>
      </c>
    </row>
    <row r="102" spans="1:27" ht="14.25" customHeight="1" x14ac:dyDescent="0.3">
      <c r="A102" t="s">
        <v>671</v>
      </c>
      <c r="B102" t="s">
        <v>672</v>
      </c>
      <c r="C102" t="s">
        <v>673</v>
      </c>
      <c r="D102">
        <v>38</v>
      </c>
      <c r="E102" t="s">
        <v>41</v>
      </c>
      <c r="F102" t="s">
        <v>220</v>
      </c>
      <c r="G102" t="s">
        <v>674</v>
      </c>
      <c r="H102" t="s">
        <v>675</v>
      </c>
      <c r="I102" t="s">
        <v>676</v>
      </c>
      <c r="J102" s="8">
        <v>45203</v>
      </c>
      <c r="K102" t="s">
        <v>677</v>
      </c>
      <c r="L102" t="s">
        <v>573</v>
      </c>
      <c r="M102">
        <v>477.52</v>
      </c>
      <c r="N102">
        <v>3</v>
      </c>
      <c r="O102" t="s">
        <v>36</v>
      </c>
      <c r="P102">
        <v>7</v>
      </c>
      <c r="Q102">
        <v>66</v>
      </c>
      <c r="R102" s="8">
        <v>45208</v>
      </c>
      <c r="S102" t="s">
        <v>678</v>
      </c>
      <c r="T102" s="33">
        <f t="shared" si="8"/>
        <v>5</v>
      </c>
      <c r="U102" s="33">
        <f t="shared" si="9"/>
        <v>1432.56</v>
      </c>
      <c r="V102" s="33">
        <f t="shared" si="10"/>
        <v>1498.56</v>
      </c>
      <c r="W102" s="36">
        <f t="shared" si="15"/>
        <v>0.08</v>
      </c>
      <c r="X102" s="33">
        <f t="shared" si="11"/>
        <v>1378.6751999999999</v>
      </c>
      <c r="Y102" s="33" t="str">
        <f t="shared" si="12"/>
        <v>Christy Chang</v>
      </c>
      <c r="Z102" s="33" t="str">
        <f t="shared" si="13"/>
        <v>BeforeTime</v>
      </c>
      <c r="AA102" s="33" t="str">
        <f t="shared" si="14"/>
        <v>outlook.com</v>
      </c>
    </row>
    <row r="103" spans="1:27" ht="14.25" customHeight="1" x14ac:dyDescent="0.3">
      <c r="A103" t="s">
        <v>679</v>
      </c>
      <c r="B103" t="s">
        <v>680</v>
      </c>
      <c r="C103" t="s">
        <v>681</v>
      </c>
      <c r="D103">
        <v>68</v>
      </c>
      <c r="E103" t="s">
        <v>29</v>
      </c>
      <c r="F103" t="s">
        <v>220</v>
      </c>
      <c r="G103" t="s">
        <v>682</v>
      </c>
      <c r="H103" t="s">
        <v>683</v>
      </c>
      <c r="I103" t="s">
        <v>684</v>
      </c>
      <c r="J103" s="8">
        <v>45636</v>
      </c>
      <c r="K103" t="s">
        <v>685</v>
      </c>
      <c r="L103" t="s">
        <v>686</v>
      </c>
      <c r="M103">
        <v>424.82</v>
      </c>
      <c r="N103">
        <v>1</v>
      </c>
      <c r="O103" t="s">
        <v>63</v>
      </c>
      <c r="P103">
        <v>6</v>
      </c>
      <c r="Q103">
        <v>44</v>
      </c>
      <c r="R103" s="8">
        <v>45638</v>
      </c>
      <c r="S103" t="s">
        <v>687</v>
      </c>
      <c r="T103" s="34">
        <f t="shared" si="8"/>
        <v>2</v>
      </c>
      <c r="U103" s="34">
        <f t="shared" si="9"/>
        <v>424.82</v>
      </c>
      <c r="V103" s="34">
        <f t="shared" si="10"/>
        <v>468.82</v>
      </c>
      <c r="W103" s="36">
        <f t="shared" si="15"/>
        <v>0</v>
      </c>
      <c r="X103" s="34">
        <f t="shared" si="11"/>
        <v>468.82</v>
      </c>
      <c r="Y103" s="34" t="str">
        <f t="shared" si="12"/>
        <v>Troy Gomez</v>
      </c>
      <c r="Z103" s="34" t="str">
        <f t="shared" si="13"/>
        <v>BeforeTime</v>
      </c>
      <c r="AA103" s="34" t="str">
        <f t="shared" si="14"/>
        <v>outlook.com</v>
      </c>
    </row>
    <row r="104" spans="1:27" ht="14.25" customHeight="1" x14ac:dyDescent="0.3">
      <c r="A104" t="s">
        <v>688</v>
      </c>
      <c r="B104" t="s">
        <v>689</v>
      </c>
      <c r="C104" t="s">
        <v>690</v>
      </c>
      <c r="D104">
        <v>65</v>
      </c>
      <c r="E104" t="s">
        <v>41</v>
      </c>
      <c r="F104" t="s">
        <v>90</v>
      </c>
      <c r="G104" t="s">
        <v>691</v>
      </c>
      <c r="H104" t="s">
        <v>692</v>
      </c>
      <c r="I104" t="s">
        <v>693</v>
      </c>
      <c r="J104" s="8">
        <v>45165</v>
      </c>
      <c r="K104" t="s">
        <v>694</v>
      </c>
      <c r="L104" t="s">
        <v>430</v>
      </c>
      <c r="M104">
        <v>369.03</v>
      </c>
      <c r="N104">
        <v>4</v>
      </c>
      <c r="O104" t="s">
        <v>36</v>
      </c>
      <c r="P104">
        <v>3</v>
      </c>
      <c r="Q104">
        <v>56</v>
      </c>
      <c r="R104" s="8">
        <v>45169</v>
      </c>
      <c r="S104" t="s">
        <v>695</v>
      </c>
      <c r="T104" s="33">
        <f t="shared" si="8"/>
        <v>4</v>
      </c>
      <c r="U104" s="33">
        <f t="shared" si="9"/>
        <v>1476.12</v>
      </c>
      <c r="V104" s="33">
        <f t="shared" si="10"/>
        <v>1532.12</v>
      </c>
      <c r="W104" s="36">
        <f t="shared" si="15"/>
        <v>0.08</v>
      </c>
      <c r="X104" s="33">
        <f t="shared" si="11"/>
        <v>1409.5503999999999</v>
      </c>
      <c r="Y104" s="33" t="str">
        <f t="shared" si="12"/>
        <v>Kim Blevins</v>
      </c>
      <c r="Z104" s="33" t="str">
        <f t="shared" si="13"/>
        <v>Late</v>
      </c>
      <c r="AA104" s="33" t="str">
        <f t="shared" si="14"/>
        <v>outlook.com</v>
      </c>
    </row>
    <row r="105" spans="1:27" ht="14.25" customHeight="1" x14ac:dyDescent="0.3">
      <c r="A105" t="s">
        <v>450</v>
      </c>
      <c r="B105" t="s">
        <v>451</v>
      </c>
      <c r="C105" t="s">
        <v>452</v>
      </c>
      <c r="D105">
        <v>69</v>
      </c>
      <c r="E105" t="s">
        <v>29</v>
      </c>
      <c r="F105" t="s">
        <v>30</v>
      </c>
      <c r="G105" t="s">
        <v>453</v>
      </c>
      <c r="H105" t="s">
        <v>454</v>
      </c>
      <c r="I105" t="s">
        <v>696</v>
      </c>
      <c r="J105" s="8">
        <v>45484</v>
      </c>
      <c r="K105" t="s">
        <v>697</v>
      </c>
      <c r="L105" t="s">
        <v>514</v>
      </c>
      <c r="M105">
        <v>136.30000000000001</v>
      </c>
      <c r="N105">
        <v>2</v>
      </c>
      <c r="O105" t="s">
        <v>96</v>
      </c>
      <c r="P105">
        <v>1</v>
      </c>
      <c r="Q105">
        <v>54</v>
      </c>
      <c r="R105" s="8">
        <v>45485</v>
      </c>
      <c r="S105" t="s">
        <v>698</v>
      </c>
      <c r="T105" s="34">
        <f t="shared" si="8"/>
        <v>1</v>
      </c>
      <c r="U105" s="34">
        <f t="shared" si="9"/>
        <v>272.60000000000002</v>
      </c>
      <c r="V105" s="34">
        <f t="shared" si="10"/>
        <v>326.60000000000002</v>
      </c>
      <c r="W105" s="36">
        <f t="shared" si="15"/>
        <v>0.1</v>
      </c>
      <c r="X105" s="34">
        <f t="shared" si="11"/>
        <v>293.94000000000005</v>
      </c>
      <c r="Y105" s="34" t="str">
        <f t="shared" si="12"/>
        <v>Brian Kennedy</v>
      </c>
      <c r="Z105" s="34" t="str">
        <f t="shared" si="13"/>
        <v>Intime</v>
      </c>
      <c r="AA105" s="34" t="str">
        <f t="shared" si="14"/>
        <v>outlook.com</v>
      </c>
    </row>
    <row r="106" spans="1:27" ht="14.25" customHeight="1" x14ac:dyDescent="0.3">
      <c r="A106" t="s">
        <v>412</v>
      </c>
      <c r="B106" t="s">
        <v>228</v>
      </c>
      <c r="C106" t="s">
        <v>413</v>
      </c>
      <c r="D106">
        <v>28</v>
      </c>
      <c r="E106" t="s">
        <v>52</v>
      </c>
      <c r="F106" t="s">
        <v>140</v>
      </c>
      <c r="G106" t="s">
        <v>414</v>
      </c>
      <c r="H106" t="s">
        <v>415</v>
      </c>
      <c r="I106" t="s">
        <v>699</v>
      </c>
      <c r="J106" s="8">
        <v>45113</v>
      </c>
      <c r="K106" t="s">
        <v>700</v>
      </c>
      <c r="L106" t="s">
        <v>154</v>
      </c>
      <c r="M106">
        <v>220.27</v>
      </c>
      <c r="N106">
        <v>4</v>
      </c>
      <c r="O106" t="s">
        <v>85</v>
      </c>
      <c r="P106">
        <v>4</v>
      </c>
      <c r="Q106">
        <v>65</v>
      </c>
      <c r="R106" s="8">
        <v>45117</v>
      </c>
      <c r="S106" t="s">
        <v>701</v>
      </c>
      <c r="T106" s="33">
        <f t="shared" si="8"/>
        <v>4</v>
      </c>
      <c r="U106" s="33">
        <f t="shared" si="9"/>
        <v>881.08</v>
      </c>
      <c r="V106" s="33">
        <f t="shared" si="10"/>
        <v>946.08</v>
      </c>
      <c r="W106" s="36">
        <f t="shared" si="15"/>
        <v>0.2</v>
      </c>
      <c r="X106" s="33">
        <f t="shared" si="11"/>
        <v>756.86400000000003</v>
      </c>
      <c r="Y106" s="33" t="str">
        <f t="shared" si="12"/>
        <v>John Ramirez</v>
      </c>
      <c r="Z106" s="33" t="str">
        <f t="shared" si="13"/>
        <v>Intime</v>
      </c>
      <c r="AA106" s="33" t="str">
        <f t="shared" si="14"/>
        <v>outlook.com</v>
      </c>
    </row>
    <row r="107" spans="1:27" ht="14.25" customHeight="1" x14ac:dyDescent="0.3">
      <c r="A107" t="s">
        <v>592</v>
      </c>
      <c r="B107" t="s">
        <v>593</v>
      </c>
      <c r="C107" t="s">
        <v>594</v>
      </c>
      <c r="D107">
        <v>21</v>
      </c>
      <c r="E107" t="s">
        <v>29</v>
      </c>
      <c r="F107" t="s">
        <v>42</v>
      </c>
      <c r="G107" t="s">
        <v>595</v>
      </c>
      <c r="H107" t="s">
        <v>596</v>
      </c>
      <c r="I107" t="s">
        <v>702</v>
      </c>
      <c r="J107" s="8">
        <v>45530</v>
      </c>
      <c r="K107" t="s">
        <v>703</v>
      </c>
      <c r="L107" t="s">
        <v>563</v>
      </c>
      <c r="M107">
        <v>133.62</v>
      </c>
      <c r="N107">
        <v>5</v>
      </c>
      <c r="O107" t="s">
        <v>58</v>
      </c>
      <c r="P107">
        <v>6</v>
      </c>
      <c r="Q107">
        <v>64</v>
      </c>
      <c r="R107" s="8">
        <v>45532</v>
      </c>
      <c r="S107" t="s">
        <v>704</v>
      </c>
      <c r="T107" s="34">
        <f t="shared" si="8"/>
        <v>2</v>
      </c>
      <c r="U107" s="34">
        <f t="shared" si="9"/>
        <v>668.1</v>
      </c>
      <c r="V107" s="34">
        <f t="shared" si="10"/>
        <v>732.1</v>
      </c>
      <c r="W107" s="36">
        <f t="shared" si="15"/>
        <v>0.15</v>
      </c>
      <c r="X107" s="34">
        <f t="shared" si="11"/>
        <v>622.28499999999997</v>
      </c>
      <c r="Y107" s="34" t="str">
        <f t="shared" si="12"/>
        <v>William Mann</v>
      </c>
      <c r="Z107" s="34" t="str">
        <f t="shared" si="13"/>
        <v>BeforeTime</v>
      </c>
      <c r="AA107" s="34" t="str">
        <f t="shared" si="14"/>
        <v>yahoo.com</v>
      </c>
    </row>
    <row r="108" spans="1:27" ht="14.25" customHeight="1" x14ac:dyDescent="0.3">
      <c r="A108" t="s">
        <v>705</v>
      </c>
      <c r="B108" t="s">
        <v>706</v>
      </c>
      <c r="C108" t="s">
        <v>707</v>
      </c>
      <c r="D108">
        <v>26</v>
      </c>
      <c r="E108" t="s">
        <v>52</v>
      </c>
      <c r="F108" t="s">
        <v>76</v>
      </c>
      <c r="G108" t="s">
        <v>708</v>
      </c>
      <c r="H108" t="s">
        <v>709</v>
      </c>
      <c r="I108" t="s">
        <v>710</v>
      </c>
      <c r="J108" s="8">
        <v>45432</v>
      </c>
      <c r="K108" t="s">
        <v>711</v>
      </c>
      <c r="L108" t="s">
        <v>35</v>
      </c>
      <c r="M108">
        <v>308.88</v>
      </c>
      <c r="N108">
        <v>2</v>
      </c>
      <c r="O108" t="s">
        <v>85</v>
      </c>
      <c r="P108">
        <v>4</v>
      </c>
      <c r="Q108">
        <v>61</v>
      </c>
      <c r="R108" s="8">
        <v>45436</v>
      </c>
      <c r="S108" t="s">
        <v>712</v>
      </c>
      <c r="T108" s="33">
        <f t="shared" si="8"/>
        <v>4</v>
      </c>
      <c r="U108" s="33">
        <f t="shared" si="9"/>
        <v>617.76</v>
      </c>
      <c r="V108" s="33">
        <f t="shared" si="10"/>
        <v>678.76</v>
      </c>
      <c r="W108" s="36">
        <f t="shared" si="15"/>
        <v>0.2</v>
      </c>
      <c r="X108" s="33">
        <f t="shared" si="11"/>
        <v>543.00800000000004</v>
      </c>
      <c r="Y108" s="33" t="str">
        <f t="shared" si="12"/>
        <v>Gregory Lee</v>
      </c>
      <c r="Z108" s="33" t="str">
        <f t="shared" si="13"/>
        <v>Intime</v>
      </c>
      <c r="AA108" s="33" t="str">
        <f t="shared" si="14"/>
        <v>rediffmail.com</v>
      </c>
    </row>
    <row r="109" spans="1:27" ht="14.25" customHeight="1" x14ac:dyDescent="0.3">
      <c r="A109" t="s">
        <v>236</v>
      </c>
      <c r="B109" t="s">
        <v>66</v>
      </c>
      <c r="C109" t="s">
        <v>237</v>
      </c>
      <c r="D109">
        <v>52</v>
      </c>
      <c r="E109" t="s">
        <v>52</v>
      </c>
      <c r="F109" t="s">
        <v>42</v>
      </c>
      <c r="G109" t="s">
        <v>238</v>
      </c>
      <c r="H109" t="s">
        <v>239</v>
      </c>
      <c r="I109" t="s">
        <v>713</v>
      </c>
      <c r="J109" s="8">
        <v>45427</v>
      </c>
      <c r="K109" t="s">
        <v>714</v>
      </c>
      <c r="L109" t="s">
        <v>225</v>
      </c>
      <c r="M109">
        <v>461.07</v>
      </c>
      <c r="N109">
        <v>1</v>
      </c>
      <c r="O109" t="s">
        <v>85</v>
      </c>
      <c r="P109">
        <v>7</v>
      </c>
      <c r="Q109">
        <v>57</v>
      </c>
      <c r="R109" s="8">
        <v>45434</v>
      </c>
      <c r="S109" t="s">
        <v>715</v>
      </c>
      <c r="T109" s="34">
        <f t="shared" si="8"/>
        <v>7</v>
      </c>
      <c r="U109" s="34">
        <f t="shared" si="9"/>
        <v>461.07</v>
      </c>
      <c r="V109" s="34">
        <f t="shared" si="10"/>
        <v>518.06999999999994</v>
      </c>
      <c r="W109" s="36">
        <f t="shared" si="15"/>
        <v>0.2</v>
      </c>
      <c r="X109" s="34">
        <f t="shared" si="11"/>
        <v>414.45599999999996</v>
      </c>
      <c r="Y109" s="34" t="str">
        <f t="shared" si="12"/>
        <v>Angela Evans</v>
      </c>
      <c r="Z109" s="34" t="str">
        <f t="shared" si="13"/>
        <v>Intime</v>
      </c>
      <c r="AA109" s="34" t="str">
        <f t="shared" si="14"/>
        <v>outlook.com</v>
      </c>
    </row>
    <row r="110" spans="1:27" ht="14.25" customHeight="1" x14ac:dyDescent="0.3">
      <c r="A110" t="s">
        <v>716</v>
      </c>
      <c r="B110" t="s">
        <v>717</v>
      </c>
      <c r="C110" t="s">
        <v>718</v>
      </c>
      <c r="D110">
        <v>32</v>
      </c>
      <c r="E110" t="s">
        <v>41</v>
      </c>
      <c r="F110" t="s">
        <v>30</v>
      </c>
      <c r="G110" t="s">
        <v>719</v>
      </c>
      <c r="H110" t="s">
        <v>720</v>
      </c>
      <c r="I110" t="s">
        <v>721</v>
      </c>
      <c r="J110" s="8">
        <v>45021</v>
      </c>
      <c r="K110" t="s">
        <v>722</v>
      </c>
      <c r="L110" t="s">
        <v>356</v>
      </c>
      <c r="M110">
        <v>496.59</v>
      </c>
      <c r="N110">
        <v>5</v>
      </c>
      <c r="O110" t="s">
        <v>85</v>
      </c>
      <c r="P110">
        <v>1</v>
      </c>
      <c r="Q110">
        <v>40</v>
      </c>
      <c r="R110" s="8">
        <v>45025</v>
      </c>
      <c r="S110" t="s">
        <v>723</v>
      </c>
      <c r="T110" s="33">
        <f t="shared" si="8"/>
        <v>4</v>
      </c>
      <c r="U110" s="33">
        <f t="shared" si="9"/>
        <v>2482.9499999999998</v>
      </c>
      <c r="V110" s="33">
        <f t="shared" si="10"/>
        <v>2522.9499999999998</v>
      </c>
      <c r="W110" s="36">
        <f t="shared" si="15"/>
        <v>0.2</v>
      </c>
      <c r="X110" s="33">
        <f t="shared" si="11"/>
        <v>2018.36</v>
      </c>
      <c r="Y110" s="33" t="str">
        <f t="shared" si="12"/>
        <v>Bruce Allen</v>
      </c>
      <c r="Z110" s="33" t="str">
        <f t="shared" si="13"/>
        <v>Late</v>
      </c>
      <c r="AA110" s="33" t="str">
        <f t="shared" si="14"/>
        <v>rediffmail.com</v>
      </c>
    </row>
    <row r="111" spans="1:27" ht="14.25" customHeight="1" x14ac:dyDescent="0.3">
      <c r="A111" t="s">
        <v>724</v>
      </c>
      <c r="B111" t="s">
        <v>725</v>
      </c>
      <c r="C111" t="s">
        <v>167</v>
      </c>
      <c r="D111">
        <v>70</v>
      </c>
      <c r="E111" t="s">
        <v>41</v>
      </c>
      <c r="F111" t="s">
        <v>90</v>
      </c>
      <c r="G111" t="s">
        <v>726</v>
      </c>
      <c r="H111" t="s">
        <v>727</v>
      </c>
      <c r="I111" t="s">
        <v>728</v>
      </c>
      <c r="J111" s="8">
        <v>45005</v>
      </c>
      <c r="K111" t="s">
        <v>729</v>
      </c>
      <c r="L111" t="s">
        <v>182</v>
      </c>
      <c r="M111">
        <v>104.18</v>
      </c>
      <c r="N111">
        <v>2</v>
      </c>
      <c r="O111" t="s">
        <v>36</v>
      </c>
      <c r="P111">
        <v>2</v>
      </c>
      <c r="Q111">
        <v>40</v>
      </c>
      <c r="R111" s="8">
        <v>45010</v>
      </c>
      <c r="S111" t="s">
        <v>730</v>
      </c>
      <c r="T111" s="34">
        <f t="shared" si="8"/>
        <v>5</v>
      </c>
      <c r="U111" s="34">
        <f t="shared" si="9"/>
        <v>208.36</v>
      </c>
      <c r="V111" s="34">
        <f t="shared" si="10"/>
        <v>248.36</v>
      </c>
      <c r="W111" s="36">
        <f t="shared" si="15"/>
        <v>0.08</v>
      </c>
      <c r="X111" s="34">
        <f t="shared" si="11"/>
        <v>228.49120000000002</v>
      </c>
      <c r="Y111" s="34" t="str">
        <f t="shared" si="12"/>
        <v>Lisa Miller</v>
      </c>
      <c r="Z111" s="34" t="str">
        <f t="shared" si="13"/>
        <v>Late</v>
      </c>
      <c r="AA111" s="34" t="str">
        <f t="shared" si="14"/>
        <v>gmail.com</v>
      </c>
    </row>
    <row r="112" spans="1:27" ht="14.25" customHeight="1" x14ac:dyDescent="0.3">
      <c r="A112" t="s">
        <v>731</v>
      </c>
      <c r="B112" t="s">
        <v>732</v>
      </c>
      <c r="C112" t="s">
        <v>733</v>
      </c>
      <c r="D112">
        <v>30</v>
      </c>
      <c r="E112" t="s">
        <v>29</v>
      </c>
      <c r="F112" t="s">
        <v>159</v>
      </c>
      <c r="G112" t="s">
        <v>734</v>
      </c>
      <c r="H112" t="s">
        <v>735</v>
      </c>
      <c r="I112" t="s">
        <v>736</v>
      </c>
      <c r="J112" s="8">
        <v>45406</v>
      </c>
      <c r="K112" t="s">
        <v>737</v>
      </c>
      <c r="L112" t="s">
        <v>738</v>
      </c>
      <c r="M112">
        <v>110.95</v>
      </c>
      <c r="N112">
        <v>2</v>
      </c>
      <c r="O112" t="s">
        <v>36</v>
      </c>
      <c r="P112">
        <v>4</v>
      </c>
      <c r="Q112">
        <v>68</v>
      </c>
      <c r="R112" s="8">
        <v>45408</v>
      </c>
      <c r="S112" t="s">
        <v>739</v>
      </c>
      <c r="T112" s="33">
        <f t="shared" si="8"/>
        <v>2</v>
      </c>
      <c r="U112" s="33">
        <f t="shared" si="9"/>
        <v>221.9</v>
      </c>
      <c r="V112" s="33">
        <f t="shared" si="10"/>
        <v>289.89999999999998</v>
      </c>
      <c r="W112" s="36">
        <f t="shared" si="15"/>
        <v>0.08</v>
      </c>
      <c r="X112" s="33">
        <f t="shared" si="11"/>
        <v>266.70799999999997</v>
      </c>
      <c r="Y112" s="33" t="str">
        <f t="shared" si="12"/>
        <v>Melissa Levy</v>
      </c>
      <c r="Z112" s="33" t="str">
        <f t="shared" si="13"/>
        <v>BeforeTime</v>
      </c>
      <c r="AA112" s="33" t="str">
        <f t="shared" si="14"/>
        <v>rediffmail.com</v>
      </c>
    </row>
    <row r="113" spans="1:27" ht="14.25" customHeight="1" x14ac:dyDescent="0.3">
      <c r="A113" t="s">
        <v>646</v>
      </c>
      <c r="B113" t="s">
        <v>647</v>
      </c>
      <c r="C113" t="s">
        <v>648</v>
      </c>
      <c r="D113">
        <v>45</v>
      </c>
      <c r="E113" t="s">
        <v>52</v>
      </c>
      <c r="F113" t="s">
        <v>90</v>
      </c>
      <c r="G113" t="s">
        <v>649</v>
      </c>
      <c r="H113" t="s">
        <v>650</v>
      </c>
      <c r="I113" t="s">
        <v>740</v>
      </c>
      <c r="J113" s="8">
        <v>45665</v>
      </c>
      <c r="K113" t="s">
        <v>741</v>
      </c>
      <c r="L113" t="s">
        <v>356</v>
      </c>
      <c r="M113">
        <v>496.59</v>
      </c>
      <c r="N113">
        <v>2</v>
      </c>
      <c r="O113" t="s">
        <v>63</v>
      </c>
      <c r="P113">
        <v>5</v>
      </c>
      <c r="Q113">
        <v>40</v>
      </c>
      <c r="R113" s="8">
        <v>45667</v>
      </c>
      <c r="S113" t="s">
        <v>742</v>
      </c>
      <c r="T113" s="34">
        <f t="shared" si="8"/>
        <v>2</v>
      </c>
      <c r="U113" s="34">
        <f t="shared" si="9"/>
        <v>993.18</v>
      </c>
      <c r="V113" s="34">
        <f t="shared" si="10"/>
        <v>1033.1799999999998</v>
      </c>
      <c r="W113" s="36">
        <f t="shared" si="15"/>
        <v>0</v>
      </c>
      <c r="X113" s="34">
        <f t="shared" si="11"/>
        <v>1033.1799999999998</v>
      </c>
      <c r="Y113" s="34" t="str">
        <f t="shared" si="12"/>
        <v>Beth Mason</v>
      </c>
      <c r="Z113" s="34" t="str">
        <f t="shared" si="13"/>
        <v>BeforeTime</v>
      </c>
      <c r="AA113" s="34" t="str">
        <f t="shared" si="14"/>
        <v>outlook.com</v>
      </c>
    </row>
    <row r="114" spans="1:27" ht="14.25" customHeight="1" x14ac:dyDescent="0.3">
      <c r="A114" t="s">
        <v>490</v>
      </c>
      <c r="B114" t="s">
        <v>186</v>
      </c>
      <c r="C114" t="s">
        <v>327</v>
      </c>
      <c r="D114">
        <v>39</v>
      </c>
      <c r="E114" t="s">
        <v>52</v>
      </c>
      <c r="F114" t="s">
        <v>42</v>
      </c>
      <c r="G114" t="s">
        <v>491</v>
      </c>
      <c r="H114" t="s">
        <v>492</v>
      </c>
      <c r="I114" t="s">
        <v>743</v>
      </c>
      <c r="J114" s="8">
        <v>45397</v>
      </c>
      <c r="K114" t="s">
        <v>744</v>
      </c>
      <c r="L114" t="s">
        <v>126</v>
      </c>
      <c r="M114">
        <v>257.06</v>
      </c>
      <c r="N114">
        <v>4</v>
      </c>
      <c r="O114" t="s">
        <v>85</v>
      </c>
      <c r="P114">
        <v>3</v>
      </c>
      <c r="Q114">
        <v>50</v>
      </c>
      <c r="R114" s="8">
        <v>45401</v>
      </c>
      <c r="S114" t="s">
        <v>745</v>
      </c>
      <c r="T114" s="33">
        <f t="shared" si="8"/>
        <v>4</v>
      </c>
      <c r="U114" s="33">
        <f t="shared" si="9"/>
        <v>1028.24</v>
      </c>
      <c r="V114" s="33">
        <f t="shared" si="10"/>
        <v>1078.24</v>
      </c>
      <c r="W114" s="36">
        <f t="shared" si="15"/>
        <v>0.2</v>
      </c>
      <c r="X114" s="33">
        <f t="shared" si="11"/>
        <v>862.5920000000001</v>
      </c>
      <c r="Y114" s="33" t="str">
        <f t="shared" si="12"/>
        <v>Mitchell Parker</v>
      </c>
      <c r="Z114" s="33" t="str">
        <f t="shared" si="13"/>
        <v>Late</v>
      </c>
      <c r="AA114" s="33" t="str">
        <f t="shared" si="14"/>
        <v>yahoo.com</v>
      </c>
    </row>
    <row r="115" spans="1:27" ht="14.25" customHeight="1" x14ac:dyDescent="0.3">
      <c r="A115" t="s">
        <v>622</v>
      </c>
      <c r="B115" t="s">
        <v>129</v>
      </c>
      <c r="C115" t="s">
        <v>623</v>
      </c>
      <c r="D115">
        <v>47</v>
      </c>
      <c r="E115" t="s">
        <v>52</v>
      </c>
      <c r="F115" t="s">
        <v>76</v>
      </c>
      <c r="G115" t="s">
        <v>624</v>
      </c>
      <c r="H115" t="s">
        <v>625</v>
      </c>
      <c r="I115" t="s">
        <v>746</v>
      </c>
      <c r="J115" s="8">
        <v>45397</v>
      </c>
      <c r="K115" t="s">
        <v>747</v>
      </c>
      <c r="L115" t="s">
        <v>748</v>
      </c>
      <c r="M115">
        <v>381.73</v>
      </c>
      <c r="N115">
        <v>4</v>
      </c>
      <c r="O115" t="s">
        <v>96</v>
      </c>
      <c r="P115">
        <v>1</v>
      </c>
      <c r="Q115">
        <v>66</v>
      </c>
      <c r="R115" s="8">
        <v>45400</v>
      </c>
      <c r="S115" t="s">
        <v>749</v>
      </c>
      <c r="T115" s="34">
        <f t="shared" si="8"/>
        <v>3</v>
      </c>
      <c r="U115" s="34">
        <f t="shared" si="9"/>
        <v>1526.92</v>
      </c>
      <c r="V115" s="34">
        <f t="shared" si="10"/>
        <v>1592.92</v>
      </c>
      <c r="W115" s="36">
        <f t="shared" si="15"/>
        <v>0.1</v>
      </c>
      <c r="X115" s="34">
        <f t="shared" si="11"/>
        <v>1433.6280000000002</v>
      </c>
      <c r="Y115" s="34" t="str">
        <f t="shared" si="12"/>
        <v>Joseph Gaines</v>
      </c>
      <c r="Z115" s="34" t="str">
        <f t="shared" si="13"/>
        <v>Late</v>
      </c>
      <c r="AA115" s="34" t="str">
        <f t="shared" si="14"/>
        <v>outlook.com</v>
      </c>
    </row>
    <row r="116" spans="1:27" ht="14.25" customHeight="1" x14ac:dyDescent="0.3">
      <c r="A116" t="s">
        <v>750</v>
      </c>
      <c r="B116" t="s">
        <v>751</v>
      </c>
      <c r="C116" t="s">
        <v>752</v>
      </c>
      <c r="D116">
        <v>43</v>
      </c>
      <c r="E116" t="s">
        <v>52</v>
      </c>
      <c r="F116" t="s">
        <v>159</v>
      </c>
      <c r="G116" t="s">
        <v>753</v>
      </c>
      <c r="H116" t="s">
        <v>754</v>
      </c>
      <c r="I116" t="s">
        <v>755</v>
      </c>
      <c r="J116" s="8">
        <v>45276</v>
      </c>
      <c r="K116" t="s">
        <v>756</v>
      </c>
      <c r="L116" t="s">
        <v>383</v>
      </c>
      <c r="M116">
        <v>431.44</v>
      </c>
      <c r="N116">
        <v>5</v>
      </c>
      <c r="O116" t="s">
        <v>58</v>
      </c>
      <c r="P116">
        <v>4</v>
      </c>
      <c r="Q116">
        <v>42</v>
      </c>
      <c r="R116" s="8">
        <v>45280</v>
      </c>
      <c r="S116" t="s">
        <v>757</v>
      </c>
      <c r="T116" s="33">
        <f t="shared" si="8"/>
        <v>4</v>
      </c>
      <c r="U116" s="33">
        <f t="shared" si="9"/>
        <v>2157.1999999999998</v>
      </c>
      <c r="V116" s="33">
        <f t="shared" si="10"/>
        <v>2199.1999999999998</v>
      </c>
      <c r="W116" s="36">
        <f t="shared" si="15"/>
        <v>0.15</v>
      </c>
      <c r="X116" s="33">
        <f t="shared" si="11"/>
        <v>1869.3199999999997</v>
      </c>
      <c r="Y116" s="33" t="str">
        <f t="shared" si="12"/>
        <v>Barbara Fuller</v>
      </c>
      <c r="Z116" s="33" t="str">
        <f t="shared" si="13"/>
        <v>Intime</v>
      </c>
      <c r="AA116" s="33" t="str">
        <f t="shared" si="14"/>
        <v>rediffmail.com</v>
      </c>
    </row>
    <row r="117" spans="1:27" ht="14.25" customHeight="1" x14ac:dyDescent="0.3">
      <c r="A117" t="s">
        <v>535</v>
      </c>
      <c r="B117" t="s">
        <v>536</v>
      </c>
      <c r="C117" t="s">
        <v>537</v>
      </c>
      <c r="D117">
        <v>32</v>
      </c>
      <c r="E117" t="s">
        <v>52</v>
      </c>
      <c r="F117" t="s">
        <v>90</v>
      </c>
      <c r="G117" t="s">
        <v>538</v>
      </c>
      <c r="H117" t="s">
        <v>539</v>
      </c>
      <c r="I117" t="s">
        <v>758</v>
      </c>
      <c r="J117" s="8">
        <v>45131</v>
      </c>
      <c r="K117" t="s">
        <v>759</v>
      </c>
      <c r="L117" t="s">
        <v>135</v>
      </c>
      <c r="M117">
        <v>175.93</v>
      </c>
      <c r="N117">
        <v>5</v>
      </c>
      <c r="O117" t="s">
        <v>63</v>
      </c>
      <c r="P117">
        <v>5</v>
      </c>
      <c r="Q117">
        <v>63</v>
      </c>
      <c r="R117" s="8">
        <v>45138</v>
      </c>
      <c r="S117" t="s">
        <v>760</v>
      </c>
      <c r="T117" s="34">
        <f t="shared" si="8"/>
        <v>7</v>
      </c>
      <c r="U117" s="34">
        <f t="shared" si="9"/>
        <v>879.65000000000009</v>
      </c>
      <c r="V117" s="34">
        <f t="shared" si="10"/>
        <v>942.65000000000009</v>
      </c>
      <c r="W117" s="36">
        <f t="shared" si="15"/>
        <v>0</v>
      </c>
      <c r="X117" s="34">
        <f t="shared" si="11"/>
        <v>942.65000000000009</v>
      </c>
      <c r="Y117" s="34" t="str">
        <f t="shared" si="12"/>
        <v>Brandon Cruz</v>
      </c>
      <c r="Z117" s="34" t="str">
        <f t="shared" si="13"/>
        <v>Late</v>
      </c>
      <c r="AA117" s="34" t="str">
        <f t="shared" si="14"/>
        <v>gmail.com</v>
      </c>
    </row>
    <row r="118" spans="1:27" ht="14.25" customHeight="1" x14ac:dyDescent="0.3">
      <c r="A118" t="s">
        <v>119</v>
      </c>
      <c r="B118" t="s">
        <v>120</v>
      </c>
      <c r="C118" t="s">
        <v>121</v>
      </c>
      <c r="D118">
        <v>20</v>
      </c>
      <c r="E118" t="s">
        <v>29</v>
      </c>
      <c r="F118" t="s">
        <v>90</v>
      </c>
      <c r="G118" t="s">
        <v>122</v>
      </c>
      <c r="H118" t="s">
        <v>123</v>
      </c>
      <c r="I118" t="s">
        <v>761</v>
      </c>
      <c r="J118" s="8">
        <v>45156</v>
      </c>
      <c r="K118" t="s">
        <v>762</v>
      </c>
      <c r="L118" t="s">
        <v>57</v>
      </c>
      <c r="M118">
        <v>202.54</v>
      </c>
      <c r="N118">
        <v>5</v>
      </c>
      <c r="O118" t="s">
        <v>36</v>
      </c>
      <c r="P118">
        <v>2</v>
      </c>
      <c r="Q118">
        <v>68</v>
      </c>
      <c r="R118" s="8">
        <v>45159</v>
      </c>
      <c r="S118" t="s">
        <v>763</v>
      </c>
      <c r="T118" s="33">
        <f t="shared" si="8"/>
        <v>3</v>
      </c>
      <c r="U118" s="33">
        <f t="shared" si="9"/>
        <v>1012.6999999999999</v>
      </c>
      <c r="V118" s="33">
        <f t="shared" si="10"/>
        <v>1080.6999999999998</v>
      </c>
      <c r="W118" s="36">
        <f t="shared" si="15"/>
        <v>0.08</v>
      </c>
      <c r="X118" s="33">
        <f t="shared" si="11"/>
        <v>994.24399999999991</v>
      </c>
      <c r="Y118" s="33" t="str">
        <f t="shared" si="12"/>
        <v>Bobby Forbes</v>
      </c>
      <c r="Z118" s="33" t="str">
        <f t="shared" si="13"/>
        <v>Late</v>
      </c>
      <c r="AA118" s="33" t="str">
        <f t="shared" si="14"/>
        <v>gmail.com</v>
      </c>
    </row>
    <row r="119" spans="1:27" ht="14.25" customHeight="1" x14ac:dyDescent="0.3">
      <c r="A119" t="s">
        <v>603</v>
      </c>
      <c r="B119" t="s">
        <v>604</v>
      </c>
      <c r="C119" t="s">
        <v>403</v>
      </c>
      <c r="D119">
        <v>18</v>
      </c>
      <c r="E119" t="s">
        <v>41</v>
      </c>
      <c r="F119" t="s">
        <v>42</v>
      </c>
      <c r="G119" t="s">
        <v>605</v>
      </c>
      <c r="H119" t="s">
        <v>606</v>
      </c>
      <c r="I119" t="s">
        <v>764</v>
      </c>
      <c r="J119" s="8">
        <v>45023</v>
      </c>
      <c r="K119" t="s">
        <v>765</v>
      </c>
      <c r="L119" t="s">
        <v>126</v>
      </c>
      <c r="M119">
        <v>257.06</v>
      </c>
      <c r="N119">
        <v>4</v>
      </c>
      <c r="O119" t="s">
        <v>96</v>
      </c>
      <c r="P119">
        <v>1</v>
      </c>
      <c r="Q119">
        <v>65</v>
      </c>
      <c r="R119" s="8">
        <v>45025</v>
      </c>
      <c r="S119" t="s">
        <v>766</v>
      </c>
      <c r="T119" s="34">
        <f t="shared" si="8"/>
        <v>2</v>
      </c>
      <c r="U119" s="34">
        <f t="shared" si="9"/>
        <v>1028.24</v>
      </c>
      <c r="V119" s="34">
        <f t="shared" si="10"/>
        <v>1093.24</v>
      </c>
      <c r="W119" s="36">
        <f t="shared" si="15"/>
        <v>0.1</v>
      </c>
      <c r="X119" s="34">
        <f t="shared" si="11"/>
        <v>983.91600000000005</v>
      </c>
      <c r="Y119" s="34" t="str">
        <f t="shared" si="12"/>
        <v>Kelli Smith</v>
      </c>
      <c r="Z119" s="34" t="str">
        <f t="shared" si="13"/>
        <v>Late</v>
      </c>
      <c r="AA119" s="34" t="str">
        <f t="shared" si="14"/>
        <v>rediffmail.com</v>
      </c>
    </row>
    <row r="120" spans="1:27" ht="14.25" customHeight="1" x14ac:dyDescent="0.3">
      <c r="A120" t="s">
        <v>767</v>
      </c>
      <c r="B120" t="s">
        <v>768</v>
      </c>
      <c r="C120" t="s">
        <v>769</v>
      </c>
      <c r="D120">
        <v>27</v>
      </c>
      <c r="E120" t="s">
        <v>29</v>
      </c>
      <c r="F120" t="s">
        <v>42</v>
      </c>
      <c r="G120" t="s">
        <v>770</v>
      </c>
      <c r="H120" t="s">
        <v>771</v>
      </c>
      <c r="I120" t="s">
        <v>772</v>
      </c>
      <c r="J120" s="8">
        <v>45183</v>
      </c>
      <c r="K120" t="s">
        <v>773</v>
      </c>
      <c r="L120" t="s">
        <v>774</v>
      </c>
      <c r="M120">
        <v>20</v>
      </c>
      <c r="N120">
        <v>1</v>
      </c>
      <c r="O120" t="s">
        <v>96</v>
      </c>
      <c r="P120">
        <v>4</v>
      </c>
      <c r="Q120">
        <v>68</v>
      </c>
      <c r="R120" s="8">
        <v>45185</v>
      </c>
      <c r="S120" t="s">
        <v>775</v>
      </c>
      <c r="T120" s="33">
        <f t="shared" si="8"/>
        <v>2</v>
      </c>
      <c r="U120" s="33">
        <f t="shared" si="9"/>
        <v>20</v>
      </c>
      <c r="V120" s="33">
        <f t="shared" si="10"/>
        <v>88</v>
      </c>
      <c r="W120" s="36">
        <f t="shared" si="15"/>
        <v>0.1</v>
      </c>
      <c r="X120" s="33">
        <f t="shared" si="11"/>
        <v>79.2</v>
      </c>
      <c r="Y120" s="33" t="str">
        <f t="shared" si="12"/>
        <v>Kristina Haynes</v>
      </c>
      <c r="Z120" s="33" t="str">
        <f t="shared" si="13"/>
        <v>BeforeTime</v>
      </c>
      <c r="AA120" s="33" t="str">
        <f t="shared" si="14"/>
        <v>yahoo.com</v>
      </c>
    </row>
    <row r="121" spans="1:27" ht="14.25" customHeight="1" x14ac:dyDescent="0.3">
      <c r="A121" t="s">
        <v>776</v>
      </c>
      <c r="B121" t="s">
        <v>777</v>
      </c>
      <c r="C121" t="s">
        <v>778</v>
      </c>
      <c r="D121">
        <v>32</v>
      </c>
      <c r="E121" t="s">
        <v>29</v>
      </c>
      <c r="F121" t="s">
        <v>159</v>
      </c>
      <c r="G121" t="s">
        <v>779</v>
      </c>
      <c r="H121" t="s">
        <v>780</v>
      </c>
      <c r="I121" t="s">
        <v>781</v>
      </c>
      <c r="J121" s="8">
        <v>45106</v>
      </c>
      <c r="K121" t="s">
        <v>782</v>
      </c>
      <c r="L121" t="s">
        <v>199</v>
      </c>
      <c r="M121">
        <v>20.7</v>
      </c>
      <c r="N121">
        <v>2</v>
      </c>
      <c r="O121" t="s">
        <v>63</v>
      </c>
      <c r="P121">
        <v>7</v>
      </c>
      <c r="Q121">
        <v>43</v>
      </c>
      <c r="R121" s="8">
        <v>45107</v>
      </c>
      <c r="S121" t="s">
        <v>783</v>
      </c>
      <c r="T121" s="34">
        <f t="shared" si="8"/>
        <v>1</v>
      </c>
      <c r="U121" s="34">
        <f t="shared" si="9"/>
        <v>41.4</v>
      </c>
      <c r="V121" s="34">
        <f t="shared" si="10"/>
        <v>84.4</v>
      </c>
      <c r="W121" s="36">
        <f t="shared" si="15"/>
        <v>0</v>
      </c>
      <c r="X121" s="34">
        <f t="shared" si="11"/>
        <v>84.4</v>
      </c>
      <c r="Y121" s="34" t="str">
        <f t="shared" si="12"/>
        <v>Lindsey Byrd</v>
      </c>
      <c r="Z121" s="34" t="str">
        <f t="shared" si="13"/>
        <v>BeforeTime</v>
      </c>
      <c r="AA121" s="34" t="str">
        <f t="shared" si="14"/>
        <v>rediffmail.com</v>
      </c>
    </row>
    <row r="122" spans="1:27" ht="14.25" customHeight="1" x14ac:dyDescent="0.3">
      <c r="A122" t="s">
        <v>156</v>
      </c>
      <c r="B122" t="s">
        <v>157</v>
      </c>
      <c r="C122" t="s">
        <v>158</v>
      </c>
      <c r="D122">
        <v>24</v>
      </c>
      <c r="E122" t="s">
        <v>29</v>
      </c>
      <c r="F122" t="s">
        <v>159</v>
      </c>
      <c r="G122" t="s">
        <v>160</v>
      </c>
      <c r="H122" t="s">
        <v>161</v>
      </c>
      <c r="I122" t="s">
        <v>784</v>
      </c>
      <c r="J122" s="8">
        <v>45003</v>
      </c>
      <c r="K122" t="s">
        <v>785</v>
      </c>
      <c r="L122" t="s">
        <v>748</v>
      </c>
      <c r="M122">
        <v>381.73</v>
      </c>
      <c r="N122">
        <v>2</v>
      </c>
      <c r="O122" t="s">
        <v>63</v>
      </c>
      <c r="P122">
        <v>6</v>
      </c>
      <c r="Q122">
        <v>41</v>
      </c>
      <c r="R122" s="8">
        <v>45008</v>
      </c>
      <c r="S122" t="s">
        <v>786</v>
      </c>
      <c r="T122" s="33">
        <f t="shared" si="8"/>
        <v>5</v>
      </c>
      <c r="U122" s="33">
        <f t="shared" si="9"/>
        <v>763.46</v>
      </c>
      <c r="V122" s="33">
        <f t="shared" si="10"/>
        <v>804.46</v>
      </c>
      <c r="W122" s="36">
        <f t="shared" si="15"/>
        <v>0</v>
      </c>
      <c r="X122" s="33">
        <f t="shared" si="11"/>
        <v>804.46</v>
      </c>
      <c r="Y122" s="33" t="str">
        <f t="shared" si="12"/>
        <v>Joshua Campbell</v>
      </c>
      <c r="Z122" s="33" t="str">
        <f t="shared" si="13"/>
        <v>BeforeTime</v>
      </c>
      <c r="AA122" s="33" t="str">
        <f t="shared" si="14"/>
        <v>gmail.com</v>
      </c>
    </row>
    <row r="123" spans="1:27" ht="14.25" customHeight="1" x14ac:dyDescent="0.3">
      <c r="A123" t="s">
        <v>293</v>
      </c>
      <c r="B123" t="s">
        <v>294</v>
      </c>
      <c r="C123" t="s">
        <v>295</v>
      </c>
      <c r="D123">
        <v>48</v>
      </c>
      <c r="E123" t="s">
        <v>41</v>
      </c>
      <c r="F123" t="s">
        <v>90</v>
      </c>
      <c r="G123" t="s">
        <v>296</v>
      </c>
      <c r="H123" t="s">
        <v>297</v>
      </c>
      <c r="I123" t="s">
        <v>787</v>
      </c>
      <c r="J123" s="8">
        <v>45499</v>
      </c>
      <c r="K123" t="s">
        <v>788</v>
      </c>
      <c r="L123" t="s">
        <v>323</v>
      </c>
      <c r="M123">
        <v>481.48</v>
      </c>
      <c r="N123">
        <v>1</v>
      </c>
      <c r="O123" t="s">
        <v>36</v>
      </c>
      <c r="P123">
        <v>1</v>
      </c>
      <c r="Q123">
        <v>69</v>
      </c>
      <c r="R123" s="8">
        <v>45503</v>
      </c>
      <c r="S123" t="s">
        <v>789</v>
      </c>
      <c r="T123" s="34">
        <f t="shared" si="8"/>
        <v>4</v>
      </c>
      <c r="U123" s="34">
        <f t="shared" si="9"/>
        <v>481.48</v>
      </c>
      <c r="V123" s="34">
        <f t="shared" si="10"/>
        <v>550.48</v>
      </c>
      <c r="W123" s="36">
        <f t="shared" si="15"/>
        <v>0.08</v>
      </c>
      <c r="X123" s="34">
        <f t="shared" si="11"/>
        <v>506.44160000000005</v>
      </c>
      <c r="Y123" s="34" t="str">
        <f t="shared" si="12"/>
        <v>Heather Schneider</v>
      </c>
      <c r="Z123" s="34" t="str">
        <f t="shared" si="13"/>
        <v>Late</v>
      </c>
      <c r="AA123" s="34" t="str">
        <f t="shared" si="14"/>
        <v>outlook.com</v>
      </c>
    </row>
    <row r="124" spans="1:27" ht="14.25" customHeight="1" x14ac:dyDescent="0.3">
      <c r="A124" t="s">
        <v>528</v>
      </c>
      <c r="B124" t="s">
        <v>394</v>
      </c>
      <c r="C124" t="s">
        <v>529</v>
      </c>
      <c r="D124">
        <v>51</v>
      </c>
      <c r="E124" t="s">
        <v>52</v>
      </c>
      <c r="F124" t="s">
        <v>140</v>
      </c>
      <c r="G124" t="s">
        <v>530</v>
      </c>
      <c r="H124" t="s">
        <v>531</v>
      </c>
      <c r="I124" t="s">
        <v>790</v>
      </c>
      <c r="J124" s="8">
        <v>45335</v>
      </c>
      <c r="K124" t="s">
        <v>791</v>
      </c>
      <c r="L124" t="s">
        <v>340</v>
      </c>
      <c r="M124">
        <v>77.84</v>
      </c>
      <c r="N124">
        <v>2</v>
      </c>
      <c r="O124" t="s">
        <v>36</v>
      </c>
      <c r="P124">
        <v>6</v>
      </c>
      <c r="Q124">
        <v>36</v>
      </c>
      <c r="R124" s="8">
        <v>45341</v>
      </c>
      <c r="S124" t="s">
        <v>792</v>
      </c>
      <c r="T124" s="33">
        <f t="shared" si="8"/>
        <v>6</v>
      </c>
      <c r="U124" s="33">
        <f t="shared" si="9"/>
        <v>155.68</v>
      </c>
      <c r="V124" s="33">
        <f t="shared" si="10"/>
        <v>191.68</v>
      </c>
      <c r="W124" s="36">
        <f t="shared" si="15"/>
        <v>0.08</v>
      </c>
      <c r="X124" s="33">
        <f t="shared" si="11"/>
        <v>176.34560000000002</v>
      </c>
      <c r="Y124" s="33" t="str">
        <f t="shared" si="12"/>
        <v>Jason Nguyen</v>
      </c>
      <c r="Z124" s="33" t="str">
        <f t="shared" si="13"/>
        <v>Intime</v>
      </c>
      <c r="AA124" s="33" t="str">
        <f t="shared" si="14"/>
        <v>yahoo.com</v>
      </c>
    </row>
    <row r="125" spans="1:27" ht="14.25" customHeight="1" x14ac:dyDescent="0.3">
      <c r="A125" t="s">
        <v>393</v>
      </c>
      <c r="B125" t="s">
        <v>394</v>
      </c>
      <c r="C125" t="s">
        <v>395</v>
      </c>
      <c r="D125">
        <v>40</v>
      </c>
      <c r="E125" t="s">
        <v>52</v>
      </c>
      <c r="F125" t="s">
        <v>168</v>
      </c>
      <c r="G125" t="s">
        <v>396</v>
      </c>
      <c r="H125" t="s">
        <v>397</v>
      </c>
      <c r="I125" t="s">
        <v>793</v>
      </c>
      <c r="J125" s="8">
        <v>45186</v>
      </c>
      <c r="K125" t="s">
        <v>794</v>
      </c>
      <c r="L125" t="s">
        <v>514</v>
      </c>
      <c r="M125">
        <v>136.30000000000001</v>
      </c>
      <c r="N125">
        <v>1</v>
      </c>
      <c r="O125" t="s">
        <v>85</v>
      </c>
      <c r="P125">
        <v>4</v>
      </c>
      <c r="Q125">
        <v>41</v>
      </c>
      <c r="R125" s="8">
        <v>45189</v>
      </c>
      <c r="S125" t="s">
        <v>795</v>
      </c>
      <c r="T125" s="34">
        <f t="shared" si="8"/>
        <v>3</v>
      </c>
      <c r="U125" s="34">
        <f t="shared" si="9"/>
        <v>136.30000000000001</v>
      </c>
      <c r="V125" s="34">
        <f t="shared" si="10"/>
        <v>177.3</v>
      </c>
      <c r="W125" s="36">
        <f t="shared" si="15"/>
        <v>0.2</v>
      </c>
      <c r="X125" s="34">
        <f t="shared" si="11"/>
        <v>141.84</v>
      </c>
      <c r="Y125" s="34" t="str">
        <f t="shared" si="12"/>
        <v>Jason Lopez</v>
      </c>
      <c r="Z125" s="34" t="str">
        <f t="shared" si="13"/>
        <v>BeforeTime</v>
      </c>
      <c r="AA125" s="34" t="str">
        <f t="shared" si="14"/>
        <v>outlook.com</v>
      </c>
    </row>
    <row r="126" spans="1:27" ht="14.25" customHeight="1" x14ac:dyDescent="0.3">
      <c r="A126" t="s">
        <v>412</v>
      </c>
      <c r="B126" t="s">
        <v>228</v>
      </c>
      <c r="C126" t="s">
        <v>413</v>
      </c>
      <c r="D126">
        <v>28</v>
      </c>
      <c r="E126" t="s">
        <v>52</v>
      </c>
      <c r="F126" t="s">
        <v>140</v>
      </c>
      <c r="G126" t="s">
        <v>414</v>
      </c>
      <c r="H126" t="s">
        <v>415</v>
      </c>
      <c r="I126" t="s">
        <v>796</v>
      </c>
      <c r="J126" s="8">
        <v>45213</v>
      </c>
      <c r="K126" t="s">
        <v>797</v>
      </c>
      <c r="L126" t="s">
        <v>686</v>
      </c>
      <c r="M126">
        <v>424.82</v>
      </c>
      <c r="N126">
        <v>3</v>
      </c>
      <c r="O126" t="s">
        <v>36</v>
      </c>
      <c r="P126">
        <v>2</v>
      </c>
      <c r="Q126">
        <v>67</v>
      </c>
      <c r="R126" s="8">
        <v>45215</v>
      </c>
      <c r="S126" t="s">
        <v>798</v>
      </c>
      <c r="T126" s="33">
        <f t="shared" si="8"/>
        <v>2</v>
      </c>
      <c r="U126" s="33">
        <f t="shared" si="9"/>
        <v>1274.46</v>
      </c>
      <c r="V126" s="33">
        <f t="shared" si="10"/>
        <v>1341.46</v>
      </c>
      <c r="W126" s="36">
        <f t="shared" si="15"/>
        <v>0.08</v>
      </c>
      <c r="X126" s="33">
        <f t="shared" si="11"/>
        <v>1234.1432</v>
      </c>
      <c r="Y126" s="33" t="str">
        <f t="shared" si="12"/>
        <v>John Ramirez</v>
      </c>
      <c r="Z126" s="33" t="str">
        <f t="shared" si="13"/>
        <v>Intime</v>
      </c>
      <c r="AA126" s="33" t="str">
        <f t="shared" si="14"/>
        <v>outlook.com</v>
      </c>
    </row>
    <row r="127" spans="1:27" ht="14.25" customHeight="1" x14ac:dyDescent="0.3">
      <c r="A127" t="s">
        <v>192</v>
      </c>
      <c r="B127" t="s">
        <v>193</v>
      </c>
      <c r="C127" t="s">
        <v>194</v>
      </c>
      <c r="D127">
        <v>34</v>
      </c>
      <c r="E127" t="s">
        <v>29</v>
      </c>
      <c r="F127" t="s">
        <v>90</v>
      </c>
      <c r="G127" t="s">
        <v>195</v>
      </c>
      <c r="H127" t="s">
        <v>196</v>
      </c>
      <c r="I127" t="s">
        <v>799</v>
      </c>
      <c r="J127" s="8">
        <v>45667</v>
      </c>
      <c r="K127" t="s">
        <v>800</v>
      </c>
      <c r="L127" t="s">
        <v>514</v>
      </c>
      <c r="M127">
        <v>136.30000000000001</v>
      </c>
      <c r="N127">
        <v>2</v>
      </c>
      <c r="O127" t="s">
        <v>96</v>
      </c>
      <c r="P127">
        <v>3</v>
      </c>
      <c r="Q127">
        <v>68</v>
      </c>
      <c r="R127" s="8">
        <v>45674</v>
      </c>
      <c r="S127" t="s">
        <v>801</v>
      </c>
      <c r="T127" s="34">
        <f t="shared" si="8"/>
        <v>7</v>
      </c>
      <c r="U127" s="34">
        <f t="shared" si="9"/>
        <v>272.60000000000002</v>
      </c>
      <c r="V127" s="34">
        <f t="shared" si="10"/>
        <v>340.6</v>
      </c>
      <c r="W127" s="36">
        <f t="shared" si="15"/>
        <v>0.1</v>
      </c>
      <c r="X127" s="34">
        <f t="shared" si="11"/>
        <v>306.54000000000002</v>
      </c>
      <c r="Y127" s="34" t="str">
        <f t="shared" si="12"/>
        <v>Traci Jones</v>
      </c>
      <c r="Z127" s="34" t="str">
        <f t="shared" si="13"/>
        <v>Late</v>
      </c>
      <c r="AA127" s="34" t="str">
        <f t="shared" si="14"/>
        <v>yahoo.com</v>
      </c>
    </row>
    <row r="128" spans="1:27" ht="14.25" customHeight="1" x14ac:dyDescent="0.3">
      <c r="A128" t="s">
        <v>147</v>
      </c>
      <c r="B128" t="s">
        <v>148</v>
      </c>
      <c r="C128" t="s">
        <v>149</v>
      </c>
      <c r="D128">
        <v>44</v>
      </c>
      <c r="E128" t="s">
        <v>41</v>
      </c>
      <c r="F128" t="s">
        <v>90</v>
      </c>
      <c r="G128" t="s">
        <v>150</v>
      </c>
      <c r="H128" t="s">
        <v>151</v>
      </c>
      <c r="I128" t="s">
        <v>802</v>
      </c>
      <c r="J128" s="8">
        <v>45636</v>
      </c>
      <c r="K128" t="s">
        <v>803</v>
      </c>
      <c r="L128" t="s">
        <v>383</v>
      </c>
      <c r="M128">
        <v>431.44</v>
      </c>
      <c r="N128">
        <v>4</v>
      </c>
      <c r="O128" t="s">
        <v>58</v>
      </c>
      <c r="P128">
        <v>2</v>
      </c>
      <c r="Q128">
        <v>66</v>
      </c>
      <c r="R128" s="8">
        <v>45637</v>
      </c>
      <c r="S128" t="s">
        <v>804</v>
      </c>
      <c r="T128" s="33">
        <f t="shared" si="8"/>
        <v>1</v>
      </c>
      <c r="U128" s="33">
        <f t="shared" si="9"/>
        <v>1725.76</v>
      </c>
      <c r="V128" s="33">
        <f t="shared" si="10"/>
        <v>1791.76</v>
      </c>
      <c r="W128" s="36">
        <f t="shared" si="15"/>
        <v>0.15</v>
      </c>
      <c r="X128" s="33">
        <f t="shared" si="11"/>
        <v>1522.9959999999999</v>
      </c>
      <c r="Y128" s="33" t="str">
        <f t="shared" si="12"/>
        <v>Amy Reid</v>
      </c>
      <c r="Z128" s="33" t="str">
        <f t="shared" si="13"/>
        <v>BeforeTime</v>
      </c>
      <c r="AA128" s="33" t="str">
        <f t="shared" si="14"/>
        <v>rediffmail.com</v>
      </c>
    </row>
    <row r="129" spans="1:27" ht="14.25" customHeight="1" x14ac:dyDescent="0.3">
      <c r="A129" t="s">
        <v>705</v>
      </c>
      <c r="B129" t="s">
        <v>706</v>
      </c>
      <c r="C129" t="s">
        <v>707</v>
      </c>
      <c r="D129">
        <v>26</v>
      </c>
      <c r="E129" t="s">
        <v>52</v>
      </c>
      <c r="F129" t="s">
        <v>76</v>
      </c>
      <c r="G129" t="s">
        <v>708</v>
      </c>
      <c r="H129" t="s">
        <v>709</v>
      </c>
      <c r="I129" t="s">
        <v>805</v>
      </c>
      <c r="J129" s="8">
        <v>45450</v>
      </c>
      <c r="K129" t="s">
        <v>806</v>
      </c>
      <c r="L129" t="s">
        <v>234</v>
      </c>
      <c r="M129">
        <v>132.97</v>
      </c>
      <c r="N129">
        <v>5</v>
      </c>
      <c r="O129" t="s">
        <v>85</v>
      </c>
      <c r="P129">
        <v>3</v>
      </c>
      <c r="Q129">
        <v>45</v>
      </c>
      <c r="R129" s="8">
        <v>45452</v>
      </c>
      <c r="S129" t="s">
        <v>807</v>
      </c>
      <c r="T129" s="34">
        <f t="shared" si="8"/>
        <v>2</v>
      </c>
      <c r="U129" s="34">
        <f t="shared" si="9"/>
        <v>664.85</v>
      </c>
      <c r="V129" s="34">
        <f t="shared" si="10"/>
        <v>709.85</v>
      </c>
      <c r="W129" s="36">
        <f t="shared" si="15"/>
        <v>0.2</v>
      </c>
      <c r="X129" s="34">
        <f t="shared" si="11"/>
        <v>567.88</v>
      </c>
      <c r="Y129" s="34" t="str">
        <f t="shared" si="12"/>
        <v>Gregory Lee</v>
      </c>
      <c r="Z129" s="34" t="str">
        <f t="shared" si="13"/>
        <v>BeforeTime</v>
      </c>
      <c r="AA129" s="34" t="str">
        <f t="shared" si="14"/>
        <v>rediffmail.com</v>
      </c>
    </row>
    <row r="130" spans="1:27" ht="14.25" customHeight="1" x14ac:dyDescent="0.3">
      <c r="A130" t="s">
        <v>528</v>
      </c>
      <c r="B130" t="s">
        <v>394</v>
      </c>
      <c r="C130" t="s">
        <v>529</v>
      </c>
      <c r="D130">
        <v>51</v>
      </c>
      <c r="E130" t="s">
        <v>52</v>
      </c>
      <c r="F130" t="s">
        <v>140</v>
      </c>
      <c r="G130" t="s">
        <v>530</v>
      </c>
      <c r="H130" t="s">
        <v>531</v>
      </c>
      <c r="I130" t="s">
        <v>808</v>
      </c>
      <c r="J130" s="8">
        <v>45598</v>
      </c>
      <c r="K130" t="s">
        <v>809</v>
      </c>
      <c r="L130" t="s">
        <v>173</v>
      </c>
      <c r="M130">
        <v>272.51</v>
      </c>
      <c r="N130">
        <v>4</v>
      </c>
      <c r="O130" t="s">
        <v>63</v>
      </c>
      <c r="P130">
        <v>2</v>
      </c>
      <c r="Q130">
        <v>42</v>
      </c>
      <c r="R130" s="8">
        <v>45599</v>
      </c>
      <c r="S130" t="s">
        <v>810</v>
      </c>
      <c r="T130" s="33">
        <f t="shared" ref="T130:T193" si="16">R130-J130</f>
        <v>1</v>
      </c>
      <c r="U130" s="33">
        <f t="shared" ref="U130:U193" si="17">M130*N130</f>
        <v>1090.04</v>
      </c>
      <c r="V130" s="33">
        <f t="shared" ref="V130:V193" si="18">U130+Q130</f>
        <v>1132.04</v>
      </c>
      <c r="W130" s="36">
        <f t="shared" si="15"/>
        <v>0</v>
      </c>
      <c r="X130" s="33">
        <f t="shared" ref="X130:X193" si="19">V130*(1-W130)</f>
        <v>1132.04</v>
      </c>
      <c r="Y130" s="33" t="str">
        <f t="shared" ref="Y130:Y193" si="20">B130&amp;" "&amp;C130</f>
        <v>Jason Nguyen</v>
      </c>
      <c r="Z130" s="33" t="str">
        <f t="shared" ref="Z130:Z193" si="21">IF(T130&gt;P130,"Late",IF(T130&lt;P130,"BeforeTime","Intime"))</f>
        <v>BeforeTime</v>
      </c>
      <c r="AA130" s="33" t="str">
        <f t="shared" ref="AA130:AA193" si="22">MID(G130,FIND("@",G130)+1,LEN(G130)-FIND("@",G130))</f>
        <v>yahoo.com</v>
      </c>
    </row>
    <row r="131" spans="1:27" ht="14.25" customHeight="1" x14ac:dyDescent="0.3">
      <c r="A131" t="s">
        <v>38</v>
      </c>
      <c r="B131" t="s">
        <v>39</v>
      </c>
      <c r="C131" t="s">
        <v>40</v>
      </c>
      <c r="D131">
        <v>53</v>
      </c>
      <c r="E131" t="s">
        <v>41</v>
      </c>
      <c r="F131" t="s">
        <v>42</v>
      </c>
      <c r="G131" t="s">
        <v>43</v>
      </c>
      <c r="H131" t="s">
        <v>44</v>
      </c>
      <c r="I131" t="s">
        <v>811</v>
      </c>
      <c r="J131" s="8">
        <v>45589</v>
      </c>
      <c r="K131" t="s">
        <v>812</v>
      </c>
      <c r="L131" t="s">
        <v>57</v>
      </c>
      <c r="M131">
        <v>202.54</v>
      </c>
      <c r="N131">
        <v>2</v>
      </c>
      <c r="O131" t="s">
        <v>85</v>
      </c>
      <c r="P131">
        <v>6</v>
      </c>
      <c r="Q131">
        <v>70</v>
      </c>
      <c r="R131" s="8">
        <v>45594</v>
      </c>
      <c r="S131" t="s">
        <v>813</v>
      </c>
      <c r="T131" s="34">
        <f t="shared" si="16"/>
        <v>5</v>
      </c>
      <c r="U131" s="34">
        <f t="shared" si="17"/>
        <v>405.08</v>
      </c>
      <c r="V131" s="34">
        <f t="shared" si="18"/>
        <v>475.08</v>
      </c>
      <c r="W131" s="36">
        <f t="shared" ref="W131:W194" si="23">IF(O131="FLAT8",0.08,IF(O131="FLAT10",0.1,IF(O131="FLAT15",0.15,IF(O131="FLAT20",0.2,0))))</f>
        <v>0.2</v>
      </c>
      <c r="X131" s="34">
        <f t="shared" si="19"/>
        <v>380.06400000000002</v>
      </c>
      <c r="Y131" s="34" t="str">
        <f t="shared" si="20"/>
        <v>Anthony Thomas</v>
      </c>
      <c r="Z131" s="34" t="str">
        <f t="shared" si="21"/>
        <v>BeforeTime</v>
      </c>
      <c r="AA131" s="34" t="str">
        <f t="shared" si="22"/>
        <v>rediffmail.com</v>
      </c>
    </row>
    <row r="132" spans="1:27" ht="14.25" customHeight="1" x14ac:dyDescent="0.3">
      <c r="A132" t="s">
        <v>98</v>
      </c>
      <c r="B132" t="s">
        <v>99</v>
      </c>
      <c r="C132" t="s">
        <v>100</v>
      </c>
      <c r="D132">
        <v>39</v>
      </c>
      <c r="E132" t="s">
        <v>29</v>
      </c>
      <c r="F132" t="s">
        <v>30</v>
      </c>
      <c r="G132" t="s">
        <v>101</v>
      </c>
      <c r="H132" t="s">
        <v>102</v>
      </c>
      <c r="I132" t="s">
        <v>814</v>
      </c>
      <c r="J132" s="8">
        <v>45689</v>
      </c>
      <c r="K132" t="s">
        <v>815</v>
      </c>
      <c r="L132" t="s">
        <v>514</v>
      </c>
      <c r="M132">
        <v>136.30000000000001</v>
      </c>
      <c r="N132">
        <v>2</v>
      </c>
      <c r="O132" t="s">
        <v>96</v>
      </c>
      <c r="P132">
        <v>2</v>
      </c>
      <c r="Q132">
        <v>51</v>
      </c>
      <c r="R132" s="8">
        <v>45694</v>
      </c>
      <c r="S132" t="s">
        <v>816</v>
      </c>
      <c r="T132" s="33">
        <f t="shared" si="16"/>
        <v>5</v>
      </c>
      <c r="U132" s="33">
        <f t="shared" si="17"/>
        <v>272.60000000000002</v>
      </c>
      <c r="V132" s="33">
        <f t="shared" si="18"/>
        <v>323.60000000000002</v>
      </c>
      <c r="W132" s="36">
        <f t="shared" si="23"/>
        <v>0.1</v>
      </c>
      <c r="X132" s="33">
        <f t="shared" si="19"/>
        <v>291.24</v>
      </c>
      <c r="Y132" s="33" t="str">
        <f t="shared" si="20"/>
        <v>Marcus Valenzuela</v>
      </c>
      <c r="Z132" s="33" t="str">
        <f t="shared" si="21"/>
        <v>Late</v>
      </c>
      <c r="AA132" s="33" t="str">
        <f t="shared" si="22"/>
        <v>yahoo.com</v>
      </c>
    </row>
    <row r="133" spans="1:27" ht="14.25" customHeight="1" x14ac:dyDescent="0.3">
      <c r="A133" t="s">
        <v>227</v>
      </c>
      <c r="B133" t="s">
        <v>228</v>
      </c>
      <c r="C133" t="s">
        <v>229</v>
      </c>
      <c r="D133">
        <v>64</v>
      </c>
      <c r="E133" t="s">
        <v>41</v>
      </c>
      <c r="F133" t="s">
        <v>42</v>
      </c>
      <c r="G133" t="s">
        <v>230</v>
      </c>
      <c r="H133" t="s">
        <v>231</v>
      </c>
      <c r="I133" t="s">
        <v>817</v>
      </c>
      <c r="J133" s="8">
        <v>45094</v>
      </c>
      <c r="K133" t="s">
        <v>818</v>
      </c>
      <c r="L133" t="s">
        <v>590</v>
      </c>
      <c r="M133">
        <v>403.03</v>
      </c>
      <c r="N133">
        <v>5</v>
      </c>
      <c r="O133" t="s">
        <v>63</v>
      </c>
      <c r="P133">
        <v>7</v>
      </c>
      <c r="Q133">
        <v>52</v>
      </c>
      <c r="R133" s="8">
        <v>45097</v>
      </c>
      <c r="S133" t="s">
        <v>819</v>
      </c>
      <c r="T133" s="34">
        <f t="shared" si="16"/>
        <v>3</v>
      </c>
      <c r="U133" s="34">
        <f t="shared" si="17"/>
        <v>2015.1499999999999</v>
      </c>
      <c r="V133" s="34">
        <f t="shared" si="18"/>
        <v>2067.1499999999996</v>
      </c>
      <c r="W133" s="36">
        <f t="shared" si="23"/>
        <v>0</v>
      </c>
      <c r="X133" s="34">
        <f t="shared" si="19"/>
        <v>2067.1499999999996</v>
      </c>
      <c r="Y133" s="34" t="str">
        <f t="shared" si="20"/>
        <v>John Herrera</v>
      </c>
      <c r="Z133" s="34" t="str">
        <f t="shared" si="21"/>
        <v>BeforeTime</v>
      </c>
      <c r="AA133" s="34" t="str">
        <f t="shared" si="22"/>
        <v>outlook.com</v>
      </c>
    </row>
    <row r="134" spans="1:27" ht="14.25" customHeight="1" x14ac:dyDescent="0.3">
      <c r="A134" t="s">
        <v>349</v>
      </c>
      <c r="B134" t="s">
        <v>350</v>
      </c>
      <c r="C134" t="s">
        <v>351</v>
      </c>
      <c r="D134">
        <v>70</v>
      </c>
      <c r="E134" t="s">
        <v>29</v>
      </c>
      <c r="F134" t="s">
        <v>168</v>
      </c>
      <c r="G134" t="s">
        <v>352</v>
      </c>
      <c r="H134" t="s">
        <v>353</v>
      </c>
      <c r="I134" t="s">
        <v>820</v>
      </c>
      <c r="J134" s="8">
        <v>45281</v>
      </c>
      <c r="K134" t="s">
        <v>821</v>
      </c>
      <c r="L134" t="s">
        <v>590</v>
      </c>
      <c r="M134">
        <v>403.03</v>
      </c>
      <c r="N134">
        <v>4</v>
      </c>
      <c r="O134" t="s">
        <v>96</v>
      </c>
      <c r="P134">
        <v>6</v>
      </c>
      <c r="Q134">
        <v>47</v>
      </c>
      <c r="R134" s="8">
        <v>45283</v>
      </c>
      <c r="S134" t="s">
        <v>822</v>
      </c>
      <c r="T134" s="33">
        <f t="shared" si="16"/>
        <v>2</v>
      </c>
      <c r="U134" s="33">
        <f t="shared" si="17"/>
        <v>1612.12</v>
      </c>
      <c r="V134" s="33">
        <f t="shared" si="18"/>
        <v>1659.12</v>
      </c>
      <c r="W134" s="36">
        <f t="shared" si="23"/>
        <v>0.1</v>
      </c>
      <c r="X134" s="33">
        <f t="shared" si="19"/>
        <v>1493.2079999999999</v>
      </c>
      <c r="Y134" s="33" t="str">
        <f t="shared" si="20"/>
        <v>Donna Oneill</v>
      </c>
      <c r="Z134" s="33" t="str">
        <f t="shared" si="21"/>
        <v>BeforeTime</v>
      </c>
      <c r="AA134" s="33" t="str">
        <f t="shared" si="22"/>
        <v>yahoo.com</v>
      </c>
    </row>
    <row r="135" spans="1:27" ht="14.25" customHeight="1" x14ac:dyDescent="0.3">
      <c r="A135" t="s">
        <v>823</v>
      </c>
      <c r="B135" t="s">
        <v>824</v>
      </c>
      <c r="C135" t="s">
        <v>825</v>
      </c>
      <c r="D135">
        <v>42</v>
      </c>
      <c r="E135" t="s">
        <v>29</v>
      </c>
      <c r="F135" t="s">
        <v>76</v>
      </c>
      <c r="G135" t="s">
        <v>826</v>
      </c>
      <c r="H135" t="s">
        <v>827</v>
      </c>
      <c r="I135" t="s">
        <v>828</v>
      </c>
      <c r="J135" s="8">
        <v>44979</v>
      </c>
      <c r="K135" t="s">
        <v>829</v>
      </c>
      <c r="L135" t="s">
        <v>145</v>
      </c>
      <c r="M135">
        <v>190.1</v>
      </c>
      <c r="N135">
        <v>5</v>
      </c>
      <c r="O135" t="s">
        <v>85</v>
      </c>
      <c r="P135">
        <v>4</v>
      </c>
      <c r="Q135">
        <v>37</v>
      </c>
      <c r="R135" s="8">
        <v>44984</v>
      </c>
      <c r="S135" t="s">
        <v>830</v>
      </c>
      <c r="T135" s="34">
        <f t="shared" si="16"/>
        <v>5</v>
      </c>
      <c r="U135" s="34">
        <f t="shared" si="17"/>
        <v>950.5</v>
      </c>
      <c r="V135" s="34">
        <f t="shared" si="18"/>
        <v>987.5</v>
      </c>
      <c r="W135" s="36">
        <f t="shared" si="23"/>
        <v>0.2</v>
      </c>
      <c r="X135" s="34">
        <f t="shared" si="19"/>
        <v>790</v>
      </c>
      <c r="Y135" s="34" t="str">
        <f t="shared" si="20"/>
        <v>Edward Black</v>
      </c>
      <c r="Z135" s="34" t="str">
        <f t="shared" si="21"/>
        <v>Late</v>
      </c>
      <c r="AA135" s="34" t="str">
        <f t="shared" si="22"/>
        <v>gmail.com</v>
      </c>
    </row>
    <row r="136" spans="1:27" ht="14.25" customHeight="1" x14ac:dyDescent="0.3">
      <c r="A136" t="s">
        <v>831</v>
      </c>
      <c r="B136" t="s">
        <v>832</v>
      </c>
      <c r="C136" t="s">
        <v>833</v>
      </c>
      <c r="D136">
        <v>60</v>
      </c>
      <c r="E136" t="s">
        <v>29</v>
      </c>
      <c r="F136" t="s">
        <v>140</v>
      </c>
      <c r="G136" t="s">
        <v>834</v>
      </c>
      <c r="H136" t="s">
        <v>835</v>
      </c>
      <c r="I136" t="s">
        <v>836</v>
      </c>
      <c r="J136" s="8">
        <v>45663</v>
      </c>
      <c r="K136" t="s">
        <v>837</v>
      </c>
      <c r="L136" t="s">
        <v>514</v>
      </c>
      <c r="M136">
        <v>136.30000000000001</v>
      </c>
      <c r="N136">
        <v>4</v>
      </c>
      <c r="O136" t="s">
        <v>63</v>
      </c>
      <c r="P136">
        <v>5</v>
      </c>
      <c r="Q136">
        <v>61</v>
      </c>
      <c r="R136" s="8">
        <v>45668</v>
      </c>
      <c r="S136" t="s">
        <v>838</v>
      </c>
      <c r="T136" s="33">
        <f t="shared" si="16"/>
        <v>5</v>
      </c>
      <c r="U136" s="33">
        <f t="shared" si="17"/>
        <v>545.20000000000005</v>
      </c>
      <c r="V136" s="33">
        <f t="shared" si="18"/>
        <v>606.20000000000005</v>
      </c>
      <c r="W136" s="36">
        <f t="shared" si="23"/>
        <v>0</v>
      </c>
      <c r="X136" s="33">
        <f t="shared" si="19"/>
        <v>606.20000000000005</v>
      </c>
      <c r="Y136" s="33" t="str">
        <f t="shared" si="20"/>
        <v>James Brown</v>
      </c>
      <c r="Z136" s="33" t="str">
        <f t="shared" si="21"/>
        <v>Intime</v>
      </c>
      <c r="AA136" s="33" t="str">
        <f t="shared" si="22"/>
        <v>yahoo.com</v>
      </c>
    </row>
    <row r="137" spans="1:27" ht="14.25" customHeight="1" x14ac:dyDescent="0.3">
      <c r="A137" t="s">
        <v>839</v>
      </c>
      <c r="B137" t="s">
        <v>840</v>
      </c>
      <c r="C137" t="s">
        <v>841</v>
      </c>
      <c r="D137">
        <v>26</v>
      </c>
      <c r="E137" t="s">
        <v>41</v>
      </c>
      <c r="F137" t="s">
        <v>159</v>
      </c>
      <c r="G137" t="s">
        <v>842</v>
      </c>
      <c r="H137" t="s">
        <v>843</v>
      </c>
      <c r="I137" t="s">
        <v>844</v>
      </c>
      <c r="J137" s="8">
        <v>45226</v>
      </c>
      <c r="K137" t="s">
        <v>845</v>
      </c>
      <c r="L137" t="s">
        <v>657</v>
      </c>
      <c r="M137">
        <v>235.63</v>
      </c>
      <c r="N137">
        <v>1</v>
      </c>
      <c r="O137" t="s">
        <v>85</v>
      </c>
      <c r="P137">
        <v>2</v>
      </c>
      <c r="Q137">
        <v>66</v>
      </c>
      <c r="R137" s="8">
        <v>45233</v>
      </c>
      <c r="S137" t="s">
        <v>846</v>
      </c>
      <c r="T137" s="34">
        <f t="shared" si="16"/>
        <v>7</v>
      </c>
      <c r="U137" s="34">
        <f t="shared" si="17"/>
        <v>235.63</v>
      </c>
      <c r="V137" s="34">
        <f t="shared" si="18"/>
        <v>301.63</v>
      </c>
      <c r="W137" s="36">
        <f t="shared" si="23"/>
        <v>0.2</v>
      </c>
      <c r="X137" s="34">
        <f t="shared" si="19"/>
        <v>241.304</v>
      </c>
      <c r="Y137" s="34" t="str">
        <f t="shared" si="20"/>
        <v>Leslie Montgomery</v>
      </c>
      <c r="Z137" s="34" t="str">
        <f t="shared" si="21"/>
        <v>Late</v>
      </c>
      <c r="AA137" s="34" t="str">
        <f t="shared" si="22"/>
        <v>gmail.com</v>
      </c>
    </row>
    <row r="138" spans="1:27" ht="14.25" customHeight="1" x14ac:dyDescent="0.3">
      <c r="A138" t="s">
        <v>847</v>
      </c>
      <c r="B138" t="s">
        <v>848</v>
      </c>
      <c r="C138" t="s">
        <v>387</v>
      </c>
      <c r="D138">
        <v>37</v>
      </c>
      <c r="E138" t="s">
        <v>52</v>
      </c>
      <c r="F138" t="s">
        <v>220</v>
      </c>
      <c r="G138" t="s">
        <v>849</v>
      </c>
      <c r="H138" t="s">
        <v>850</v>
      </c>
      <c r="I138" t="s">
        <v>851</v>
      </c>
      <c r="J138" s="8">
        <v>45249</v>
      </c>
      <c r="K138" t="s">
        <v>852</v>
      </c>
      <c r="L138" t="s">
        <v>653</v>
      </c>
      <c r="M138">
        <v>433.62</v>
      </c>
      <c r="N138">
        <v>4</v>
      </c>
      <c r="O138" t="s">
        <v>85</v>
      </c>
      <c r="P138">
        <v>3</v>
      </c>
      <c r="Q138">
        <v>36</v>
      </c>
      <c r="R138" s="8">
        <v>45252</v>
      </c>
      <c r="S138" t="s">
        <v>853</v>
      </c>
      <c r="T138" s="33">
        <f t="shared" si="16"/>
        <v>3</v>
      </c>
      <c r="U138" s="33">
        <f t="shared" si="17"/>
        <v>1734.48</v>
      </c>
      <c r="V138" s="33">
        <f t="shared" si="18"/>
        <v>1770.48</v>
      </c>
      <c r="W138" s="36">
        <f t="shared" si="23"/>
        <v>0.2</v>
      </c>
      <c r="X138" s="33">
        <f t="shared" si="19"/>
        <v>1416.384</v>
      </c>
      <c r="Y138" s="33" t="str">
        <f t="shared" si="20"/>
        <v>Susan Thompson</v>
      </c>
      <c r="Z138" s="33" t="str">
        <f t="shared" si="21"/>
        <v>Intime</v>
      </c>
      <c r="AA138" s="33" t="str">
        <f t="shared" si="22"/>
        <v>outlook.com</v>
      </c>
    </row>
    <row r="139" spans="1:27" ht="14.25" customHeight="1" x14ac:dyDescent="0.3">
      <c r="A139" t="s">
        <v>750</v>
      </c>
      <c r="B139" t="s">
        <v>751</v>
      </c>
      <c r="C139" t="s">
        <v>752</v>
      </c>
      <c r="D139">
        <v>43</v>
      </c>
      <c r="E139" t="s">
        <v>52</v>
      </c>
      <c r="F139" t="s">
        <v>159</v>
      </c>
      <c r="G139" t="s">
        <v>753</v>
      </c>
      <c r="H139" t="s">
        <v>754</v>
      </c>
      <c r="I139" t="s">
        <v>854</v>
      </c>
      <c r="J139" s="8">
        <v>45331</v>
      </c>
      <c r="K139" t="s">
        <v>855</v>
      </c>
      <c r="L139" t="s">
        <v>287</v>
      </c>
      <c r="M139">
        <v>157.63999999999999</v>
      </c>
      <c r="N139">
        <v>5</v>
      </c>
      <c r="O139" t="s">
        <v>63</v>
      </c>
      <c r="P139">
        <v>7</v>
      </c>
      <c r="Q139">
        <v>36</v>
      </c>
      <c r="R139" s="8">
        <v>45332</v>
      </c>
      <c r="S139" t="s">
        <v>856</v>
      </c>
      <c r="T139" s="34">
        <f t="shared" si="16"/>
        <v>1</v>
      </c>
      <c r="U139" s="34">
        <f t="shared" si="17"/>
        <v>788.19999999999993</v>
      </c>
      <c r="V139" s="34">
        <f t="shared" si="18"/>
        <v>824.19999999999993</v>
      </c>
      <c r="W139" s="36">
        <f t="shared" si="23"/>
        <v>0</v>
      </c>
      <c r="X139" s="34">
        <f t="shared" si="19"/>
        <v>824.19999999999993</v>
      </c>
      <c r="Y139" s="34" t="str">
        <f t="shared" si="20"/>
        <v>Barbara Fuller</v>
      </c>
      <c r="Z139" s="34" t="str">
        <f t="shared" si="21"/>
        <v>BeforeTime</v>
      </c>
      <c r="AA139" s="34" t="str">
        <f t="shared" si="22"/>
        <v>rediffmail.com</v>
      </c>
    </row>
    <row r="140" spans="1:27" ht="14.25" customHeight="1" x14ac:dyDescent="0.3">
      <c r="A140" t="s">
        <v>87</v>
      </c>
      <c r="B140" t="s">
        <v>88</v>
      </c>
      <c r="C140" t="s">
        <v>89</v>
      </c>
      <c r="D140">
        <v>26</v>
      </c>
      <c r="E140" t="s">
        <v>41</v>
      </c>
      <c r="F140" t="s">
        <v>90</v>
      </c>
      <c r="G140" t="s">
        <v>91</v>
      </c>
      <c r="H140" t="s">
        <v>92</v>
      </c>
      <c r="I140" t="s">
        <v>857</v>
      </c>
      <c r="J140" s="8">
        <v>45108</v>
      </c>
      <c r="K140" t="s">
        <v>858</v>
      </c>
      <c r="L140" t="s">
        <v>291</v>
      </c>
      <c r="M140">
        <v>158.53</v>
      </c>
      <c r="N140">
        <v>5</v>
      </c>
      <c r="O140" t="s">
        <v>63</v>
      </c>
      <c r="P140">
        <v>4</v>
      </c>
      <c r="Q140">
        <v>66</v>
      </c>
      <c r="R140" s="8">
        <v>45111</v>
      </c>
      <c r="S140" t="s">
        <v>859</v>
      </c>
      <c r="T140" s="33">
        <f t="shared" si="16"/>
        <v>3</v>
      </c>
      <c r="U140" s="33">
        <f t="shared" si="17"/>
        <v>792.65</v>
      </c>
      <c r="V140" s="33">
        <f t="shared" si="18"/>
        <v>858.65</v>
      </c>
      <c r="W140" s="36">
        <f t="shared" si="23"/>
        <v>0</v>
      </c>
      <c r="X140" s="33">
        <f t="shared" si="19"/>
        <v>858.65</v>
      </c>
      <c r="Y140" s="33" t="str">
        <f t="shared" si="20"/>
        <v>David Delacruz</v>
      </c>
      <c r="Z140" s="33" t="str">
        <f t="shared" si="21"/>
        <v>BeforeTime</v>
      </c>
      <c r="AA140" s="33" t="str">
        <f t="shared" si="22"/>
        <v>rediffmail.com</v>
      </c>
    </row>
    <row r="141" spans="1:27" ht="14.25" customHeight="1" x14ac:dyDescent="0.3">
      <c r="A141" t="s">
        <v>184</v>
      </c>
      <c r="B141" t="s">
        <v>185</v>
      </c>
      <c r="C141" t="s">
        <v>186</v>
      </c>
      <c r="D141">
        <v>42</v>
      </c>
      <c r="E141" t="s">
        <v>41</v>
      </c>
      <c r="F141" t="s">
        <v>168</v>
      </c>
      <c r="G141" t="s">
        <v>187</v>
      </c>
      <c r="H141" t="s">
        <v>188</v>
      </c>
      <c r="I141" t="s">
        <v>860</v>
      </c>
      <c r="J141" s="8">
        <v>45283</v>
      </c>
      <c r="K141" t="s">
        <v>861</v>
      </c>
      <c r="L141" t="s">
        <v>126</v>
      </c>
      <c r="M141">
        <v>257.06</v>
      </c>
      <c r="N141">
        <v>3</v>
      </c>
      <c r="O141" t="s">
        <v>36</v>
      </c>
      <c r="P141">
        <v>6</v>
      </c>
      <c r="Q141">
        <v>65</v>
      </c>
      <c r="R141" s="8">
        <v>45289</v>
      </c>
      <c r="S141" t="s">
        <v>862</v>
      </c>
      <c r="T141" s="34">
        <f t="shared" si="16"/>
        <v>6</v>
      </c>
      <c r="U141" s="34">
        <f t="shared" si="17"/>
        <v>771.18000000000006</v>
      </c>
      <c r="V141" s="34">
        <f t="shared" si="18"/>
        <v>836.18000000000006</v>
      </c>
      <c r="W141" s="36">
        <f t="shared" si="23"/>
        <v>0.08</v>
      </c>
      <c r="X141" s="34">
        <f t="shared" si="19"/>
        <v>769.28560000000004</v>
      </c>
      <c r="Y141" s="34" t="str">
        <f t="shared" si="20"/>
        <v>Mallory Mitchell</v>
      </c>
      <c r="Z141" s="34" t="str">
        <f t="shared" si="21"/>
        <v>Intime</v>
      </c>
      <c r="AA141" s="34" t="str">
        <f t="shared" si="22"/>
        <v>yahoo.com</v>
      </c>
    </row>
    <row r="142" spans="1:27" ht="14.25" customHeight="1" x14ac:dyDescent="0.3">
      <c r="A142" t="s">
        <v>776</v>
      </c>
      <c r="B142" t="s">
        <v>777</v>
      </c>
      <c r="C142" t="s">
        <v>778</v>
      </c>
      <c r="D142">
        <v>32</v>
      </c>
      <c r="E142" t="s">
        <v>29</v>
      </c>
      <c r="F142" t="s">
        <v>159</v>
      </c>
      <c r="G142" t="s">
        <v>779</v>
      </c>
      <c r="H142" t="s">
        <v>780</v>
      </c>
      <c r="I142" t="s">
        <v>863</v>
      </c>
      <c r="J142" s="8">
        <v>45537</v>
      </c>
      <c r="K142" t="s">
        <v>864</v>
      </c>
      <c r="L142" t="s">
        <v>738</v>
      </c>
      <c r="M142">
        <v>110.95</v>
      </c>
      <c r="N142">
        <v>4</v>
      </c>
      <c r="O142" t="s">
        <v>58</v>
      </c>
      <c r="P142">
        <v>1</v>
      </c>
      <c r="Q142">
        <v>60</v>
      </c>
      <c r="R142" s="8">
        <v>45541</v>
      </c>
      <c r="S142" t="s">
        <v>865</v>
      </c>
      <c r="T142" s="33">
        <f t="shared" si="16"/>
        <v>4</v>
      </c>
      <c r="U142" s="33">
        <f t="shared" si="17"/>
        <v>443.8</v>
      </c>
      <c r="V142" s="33">
        <f t="shared" si="18"/>
        <v>503.8</v>
      </c>
      <c r="W142" s="36">
        <f t="shared" si="23"/>
        <v>0.15</v>
      </c>
      <c r="X142" s="33">
        <f t="shared" si="19"/>
        <v>428.23</v>
      </c>
      <c r="Y142" s="33" t="str">
        <f t="shared" si="20"/>
        <v>Lindsey Byrd</v>
      </c>
      <c r="Z142" s="33" t="str">
        <f t="shared" si="21"/>
        <v>Late</v>
      </c>
      <c r="AA142" s="33" t="str">
        <f t="shared" si="22"/>
        <v>rediffmail.com</v>
      </c>
    </row>
    <row r="143" spans="1:27" ht="14.25" customHeight="1" x14ac:dyDescent="0.3">
      <c r="A143" t="s">
        <v>546</v>
      </c>
      <c r="B143" t="s">
        <v>547</v>
      </c>
      <c r="C143" t="s">
        <v>548</v>
      </c>
      <c r="D143">
        <v>33</v>
      </c>
      <c r="E143" t="s">
        <v>52</v>
      </c>
      <c r="F143" t="s">
        <v>168</v>
      </c>
      <c r="G143" t="s">
        <v>549</v>
      </c>
      <c r="H143" t="s">
        <v>550</v>
      </c>
      <c r="I143" t="s">
        <v>866</v>
      </c>
      <c r="J143" s="8">
        <v>45609</v>
      </c>
      <c r="K143" t="s">
        <v>867</v>
      </c>
      <c r="L143" t="s">
        <v>323</v>
      </c>
      <c r="M143">
        <v>481.48</v>
      </c>
      <c r="N143">
        <v>5</v>
      </c>
      <c r="O143" t="s">
        <v>36</v>
      </c>
      <c r="P143">
        <v>6</v>
      </c>
      <c r="Q143">
        <v>44</v>
      </c>
      <c r="R143" s="8">
        <v>45612</v>
      </c>
      <c r="S143" t="s">
        <v>868</v>
      </c>
      <c r="T143" s="34">
        <f t="shared" si="16"/>
        <v>3</v>
      </c>
      <c r="U143" s="34">
        <f t="shared" si="17"/>
        <v>2407.4</v>
      </c>
      <c r="V143" s="34">
        <f t="shared" si="18"/>
        <v>2451.4</v>
      </c>
      <c r="W143" s="36">
        <f t="shared" si="23"/>
        <v>0.08</v>
      </c>
      <c r="X143" s="34">
        <f t="shared" si="19"/>
        <v>2255.288</v>
      </c>
      <c r="Y143" s="34" t="str">
        <f t="shared" si="20"/>
        <v>Jodi Whitney</v>
      </c>
      <c r="Z143" s="34" t="str">
        <f t="shared" si="21"/>
        <v>BeforeTime</v>
      </c>
      <c r="AA143" s="34" t="str">
        <f t="shared" si="22"/>
        <v>yahoo.com</v>
      </c>
    </row>
    <row r="144" spans="1:27" ht="14.25" customHeight="1" x14ac:dyDescent="0.3">
      <c r="A144" t="s">
        <v>507</v>
      </c>
      <c r="B144" t="s">
        <v>508</v>
      </c>
      <c r="C144" t="s">
        <v>509</v>
      </c>
      <c r="D144">
        <v>64</v>
      </c>
      <c r="E144" t="s">
        <v>29</v>
      </c>
      <c r="F144" t="s">
        <v>30</v>
      </c>
      <c r="G144" t="s">
        <v>510</v>
      </c>
      <c r="H144" t="s">
        <v>511</v>
      </c>
      <c r="I144" t="s">
        <v>869</v>
      </c>
      <c r="J144" s="8">
        <v>45576</v>
      </c>
      <c r="K144" t="s">
        <v>870</v>
      </c>
      <c r="L144" t="s">
        <v>871</v>
      </c>
      <c r="M144">
        <v>292.14999999999998</v>
      </c>
      <c r="N144">
        <v>4</v>
      </c>
      <c r="O144" t="s">
        <v>85</v>
      </c>
      <c r="P144">
        <v>1</v>
      </c>
      <c r="Q144">
        <v>58</v>
      </c>
      <c r="R144" s="8">
        <v>45577</v>
      </c>
      <c r="S144" t="s">
        <v>872</v>
      </c>
      <c r="T144" s="33">
        <f t="shared" si="16"/>
        <v>1</v>
      </c>
      <c r="U144" s="33">
        <f t="shared" si="17"/>
        <v>1168.5999999999999</v>
      </c>
      <c r="V144" s="33">
        <f t="shared" si="18"/>
        <v>1226.5999999999999</v>
      </c>
      <c r="W144" s="36">
        <f t="shared" si="23"/>
        <v>0.2</v>
      </c>
      <c r="X144" s="33">
        <f t="shared" si="19"/>
        <v>981.28</v>
      </c>
      <c r="Y144" s="33" t="str">
        <f t="shared" si="20"/>
        <v>Sarah Butler</v>
      </c>
      <c r="Z144" s="33" t="str">
        <f t="shared" si="21"/>
        <v>Intime</v>
      </c>
      <c r="AA144" s="33" t="str">
        <f t="shared" si="22"/>
        <v>rediffmail.com</v>
      </c>
    </row>
    <row r="145" spans="1:27" ht="14.25" customHeight="1" x14ac:dyDescent="0.3">
      <c r="A145" t="s">
        <v>358</v>
      </c>
      <c r="B145" t="s">
        <v>359</v>
      </c>
      <c r="C145" t="s">
        <v>360</v>
      </c>
      <c r="D145">
        <v>32</v>
      </c>
      <c r="E145" t="s">
        <v>41</v>
      </c>
      <c r="F145" t="s">
        <v>168</v>
      </c>
      <c r="G145" t="s">
        <v>361</v>
      </c>
      <c r="H145" t="s">
        <v>362</v>
      </c>
      <c r="I145" t="s">
        <v>873</v>
      </c>
      <c r="J145" s="8">
        <v>45199</v>
      </c>
      <c r="K145" t="s">
        <v>874</v>
      </c>
      <c r="L145" t="s">
        <v>774</v>
      </c>
      <c r="M145">
        <v>20</v>
      </c>
      <c r="N145">
        <v>5</v>
      </c>
      <c r="O145" t="s">
        <v>58</v>
      </c>
      <c r="P145">
        <v>7</v>
      </c>
      <c r="Q145">
        <v>40</v>
      </c>
      <c r="R145" s="8">
        <v>45203</v>
      </c>
      <c r="S145" t="s">
        <v>875</v>
      </c>
      <c r="T145" s="34">
        <f t="shared" si="16"/>
        <v>4</v>
      </c>
      <c r="U145" s="34">
        <f t="shared" si="17"/>
        <v>100</v>
      </c>
      <c r="V145" s="34">
        <f t="shared" si="18"/>
        <v>140</v>
      </c>
      <c r="W145" s="36">
        <f t="shared" si="23"/>
        <v>0.15</v>
      </c>
      <c r="X145" s="34">
        <f t="shared" si="19"/>
        <v>119</v>
      </c>
      <c r="Y145" s="34" t="str">
        <f t="shared" si="20"/>
        <v>Robert Castillo</v>
      </c>
      <c r="Z145" s="34" t="str">
        <f t="shared" si="21"/>
        <v>BeforeTime</v>
      </c>
      <c r="AA145" s="34" t="str">
        <f t="shared" si="22"/>
        <v>gmail.com</v>
      </c>
    </row>
    <row r="146" spans="1:27" ht="14.25" customHeight="1" x14ac:dyDescent="0.3">
      <c r="A146" t="s">
        <v>358</v>
      </c>
      <c r="B146" t="s">
        <v>359</v>
      </c>
      <c r="C146" t="s">
        <v>360</v>
      </c>
      <c r="D146">
        <v>32</v>
      </c>
      <c r="E146" t="s">
        <v>41</v>
      </c>
      <c r="F146" t="s">
        <v>168</v>
      </c>
      <c r="G146" t="s">
        <v>361</v>
      </c>
      <c r="H146" t="s">
        <v>362</v>
      </c>
      <c r="I146" t="s">
        <v>876</v>
      </c>
      <c r="J146" s="8">
        <v>45677</v>
      </c>
      <c r="K146" t="s">
        <v>877</v>
      </c>
      <c r="L146" t="s">
        <v>62</v>
      </c>
      <c r="M146">
        <v>405</v>
      </c>
      <c r="N146">
        <v>2</v>
      </c>
      <c r="O146" t="s">
        <v>58</v>
      </c>
      <c r="P146">
        <v>7</v>
      </c>
      <c r="Q146">
        <v>55</v>
      </c>
      <c r="R146" s="8">
        <v>45680</v>
      </c>
      <c r="S146" t="s">
        <v>878</v>
      </c>
      <c r="T146" s="33">
        <f t="shared" si="16"/>
        <v>3</v>
      </c>
      <c r="U146" s="33">
        <f t="shared" si="17"/>
        <v>810</v>
      </c>
      <c r="V146" s="33">
        <f t="shared" si="18"/>
        <v>865</v>
      </c>
      <c r="W146" s="36">
        <f t="shared" si="23"/>
        <v>0.15</v>
      </c>
      <c r="X146" s="33">
        <f t="shared" si="19"/>
        <v>735.25</v>
      </c>
      <c r="Y146" s="33" t="str">
        <f t="shared" si="20"/>
        <v>Robert Castillo</v>
      </c>
      <c r="Z146" s="33" t="str">
        <f t="shared" si="21"/>
        <v>BeforeTime</v>
      </c>
      <c r="AA146" s="33" t="str">
        <f t="shared" si="22"/>
        <v>gmail.com</v>
      </c>
    </row>
    <row r="147" spans="1:27" ht="14.25" customHeight="1" x14ac:dyDescent="0.3">
      <c r="A147" t="s">
        <v>575</v>
      </c>
      <c r="B147" t="s">
        <v>256</v>
      </c>
      <c r="C147" t="s">
        <v>576</v>
      </c>
      <c r="D147">
        <v>35</v>
      </c>
      <c r="E147" t="s">
        <v>29</v>
      </c>
      <c r="F147" t="s">
        <v>30</v>
      </c>
      <c r="G147" t="s">
        <v>577</v>
      </c>
      <c r="H147" t="s">
        <v>578</v>
      </c>
      <c r="I147" t="s">
        <v>879</v>
      </c>
      <c r="J147" s="8">
        <v>45581</v>
      </c>
      <c r="K147" t="s">
        <v>880</v>
      </c>
      <c r="L147" t="s">
        <v>114</v>
      </c>
      <c r="M147">
        <v>48.45</v>
      </c>
      <c r="N147">
        <v>5</v>
      </c>
      <c r="O147" t="s">
        <v>96</v>
      </c>
      <c r="P147">
        <v>7</v>
      </c>
      <c r="Q147">
        <v>53</v>
      </c>
      <c r="R147" s="8">
        <v>45588</v>
      </c>
      <c r="S147" t="s">
        <v>881</v>
      </c>
      <c r="T147" s="34">
        <f t="shared" si="16"/>
        <v>7</v>
      </c>
      <c r="U147" s="34">
        <f t="shared" si="17"/>
        <v>242.25</v>
      </c>
      <c r="V147" s="34">
        <f t="shared" si="18"/>
        <v>295.25</v>
      </c>
      <c r="W147" s="36">
        <f t="shared" si="23"/>
        <v>0.1</v>
      </c>
      <c r="X147" s="34">
        <f t="shared" si="19"/>
        <v>265.72500000000002</v>
      </c>
      <c r="Y147" s="34" t="str">
        <f t="shared" si="20"/>
        <v>Ashley Romero</v>
      </c>
      <c r="Z147" s="34" t="str">
        <f t="shared" si="21"/>
        <v>Intime</v>
      </c>
      <c r="AA147" s="34" t="str">
        <f t="shared" si="22"/>
        <v>yahoo.com</v>
      </c>
    </row>
    <row r="148" spans="1:27" ht="14.25" customHeight="1" x14ac:dyDescent="0.3">
      <c r="A148" t="s">
        <v>490</v>
      </c>
      <c r="B148" t="s">
        <v>186</v>
      </c>
      <c r="C148" t="s">
        <v>327</v>
      </c>
      <c r="D148">
        <v>39</v>
      </c>
      <c r="E148" t="s">
        <v>52</v>
      </c>
      <c r="F148" t="s">
        <v>42</v>
      </c>
      <c r="G148" t="s">
        <v>491</v>
      </c>
      <c r="H148" t="s">
        <v>492</v>
      </c>
      <c r="I148" t="s">
        <v>882</v>
      </c>
      <c r="J148" s="8">
        <v>45609</v>
      </c>
      <c r="K148" t="s">
        <v>883</v>
      </c>
      <c r="L148" t="s">
        <v>57</v>
      </c>
      <c r="M148">
        <v>202.54</v>
      </c>
      <c r="N148">
        <v>1</v>
      </c>
      <c r="O148" t="s">
        <v>36</v>
      </c>
      <c r="P148">
        <v>4</v>
      </c>
      <c r="Q148">
        <v>48</v>
      </c>
      <c r="R148" s="8">
        <v>45611</v>
      </c>
      <c r="S148" t="s">
        <v>884</v>
      </c>
      <c r="T148" s="33">
        <f t="shared" si="16"/>
        <v>2</v>
      </c>
      <c r="U148" s="33">
        <f t="shared" si="17"/>
        <v>202.54</v>
      </c>
      <c r="V148" s="33">
        <f t="shared" si="18"/>
        <v>250.54</v>
      </c>
      <c r="W148" s="36">
        <f t="shared" si="23"/>
        <v>0.08</v>
      </c>
      <c r="X148" s="33">
        <f t="shared" si="19"/>
        <v>230.49680000000001</v>
      </c>
      <c r="Y148" s="33" t="str">
        <f t="shared" si="20"/>
        <v>Mitchell Parker</v>
      </c>
      <c r="Z148" s="33" t="str">
        <f t="shared" si="21"/>
        <v>BeforeTime</v>
      </c>
      <c r="AA148" s="33" t="str">
        <f t="shared" si="22"/>
        <v>yahoo.com</v>
      </c>
    </row>
    <row r="149" spans="1:27" ht="14.25" customHeight="1" x14ac:dyDescent="0.3">
      <c r="A149" t="s">
        <v>767</v>
      </c>
      <c r="B149" t="s">
        <v>768</v>
      </c>
      <c r="C149" t="s">
        <v>769</v>
      </c>
      <c r="D149">
        <v>27</v>
      </c>
      <c r="E149" t="s">
        <v>29</v>
      </c>
      <c r="F149" t="s">
        <v>42</v>
      </c>
      <c r="G149" t="s">
        <v>770</v>
      </c>
      <c r="H149" t="s">
        <v>771</v>
      </c>
      <c r="I149" t="s">
        <v>885</v>
      </c>
      <c r="J149" s="8">
        <v>44983</v>
      </c>
      <c r="K149" t="s">
        <v>886</v>
      </c>
      <c r="L149" t="s">
        <v>473</v>
      </c>
      <c r="M149">
        <v>286.07</v>
      </c>
      <c r="N149">
        <v>5</v>
      </c>
      <c r="O149" t="s">
        <v>85</v>
      </c>
      <c r="P149">
        <v>1</v>
      </c>
      <c r="Q149">
        <v>52</v>
      </c>
      <c r="R149" s="8">
        <v>44986</v>
      </c>
      <c r="S149" t="s">
        <v>887</v>
      </c>
      <c r="T149" s="34">
        <f t="shared" si="16"/>
        <v>3</v>
      </c>
      <c r="U149" s="34">
        <f t="shared" si="17"/>
        <v>1430.35</v>
      </c>
      <c r="V149" s="34">
        <f t="shared" si="18"/>
        <v>1482.35</v>
      </c>
      <c r="W149" s="36">
        <f t="shared" si="23"/>
        <v>0.2</v>
      </c>
      <c r="X149" s="34">
        <f t="shared" si="19"/>
        <v>1185.8799999999999</v>
      </c>
      <c r="Y149" s="34" t="str">
        <f t="shared" si="20"/>
        <v>Kristina Haynes</v>
      </c>
      <c r="Z149" s="34" t="str">
        <f t="shared" si="21"/>
        <v>Late</v>
      </c>
      <c r="AA149" s="34" t="str">
        <f t="shared" si="22"/>
        <v>yahoo.com</v>
      </c>
    </row>
    <row r="150" spans="1:27" ht="14.25" customHeight="1" x14ac:dyDescent="0.3">
      <c r="A150" t="s">
        <v>466</v>
      </c>
      <c r="B150" t="s">
        <v>467</v>
      </c>
      <c r="C150" t="s">
        <v>468</v>
      </c>
      <c r="D150">
        <v>18</v>
      </c>
      <c r="E150" t="s">
        <v>41</v>
      </c>
      <c r="F150" t="s">
        <v>42</v>
      </c>
      <c r="G150" t="s">
        <v>469</v>
      </c>
      <c r="H150" t="s">
        <v>470</v>
      </c>
      <c r="I150" t="s">
        <v>888</v>
      </c>
      <c r="J150" s="8">
        <v>45378</v>
      </c>
      <c r="K150" t="s">
        <v>889</v>
      </c>
      <c r="L150" t="s">
        <v>57</v>
      </c>
      <c r="M150">
        <v>202.54</v>
      </c>
      <c r="N150">
        <v>4</v>
      </c>
      <c r="O150" t="s">
        <v>96</v>
      </c>
      <c r="P150">
        <v>1</v>
      </c>
      <c r="Q150">
        <v>36</v>
      </c>
      <c r="R150" s="8">
        <v>45380</v>
      </c>
      <c r="S150" t="s">
        <v>890</v>
      </c>
      <c r="T150" s="33">
        <f t="shared" si="16"/>
        <v>2</v>
      </c>
      <c r="U150" s="33">
        <f t="shared" si="17"/>
        <v>810.16</v>
      </c>
      <c r="V150" s="33">
        <f t="shared" si="18"/>
        <v>846.16</v>
      </c>
      <c r="W150" s="36">
        <f t="shared" si="23"/>
        <v>0.1</v>
      </c>
      <c r="X150" s="33">
        <f t="shared" si="19"/>
        <v>761.54399999999998</v>
      </c>
      <c r="Y150" s="33" t="str">
        <f t="shared" si="20"/>
        <v>Lori Cook</v>
      </c>
      <c r="Z150" s="33" t="str">
        <f t="shared" si="21"/>
        <v>Late</v>
      </c>
      <c r="AA150" s="33" t="str">
        <f t="shared" si="22"/>
        <v>rediffmail.com</v>
      </c>
    </row>
    <row r="151" spans="1:27" ht="14.25" customHeight="1" x14ac:dyDescent="0.3">
      <c r="A151" t="s">
        <v>280</v>
      </c>
      <c r="B151" t="s">
        <v>281</v>
      </c>
      <c r="C151" t="s">
        <v>282</v>
      </c>
      <c r="D151">
        <v>64</v>
      </c>
      <c r="E151" t="s">
        <v>52</v>
      </c>
      <c r="F151" t="s">
        <v>30</v>
      </c>
      <c r="G151" t="s">
        <v>283</v>
      </c>
      <c r="H151" t="s">
        <v>284</v>
      </c>
      <c r="I151" t="s">
        <v>891</v>
      </c>
      <c r="J151" s="8">
        <v>44989</v>
      </c>
      <c r="K151" t="s">
        <v>892</v>
      </c>
      <c r="L151" t="s">
        <v>418</v>
      </c>
      <c r="M151">
        <v>44.5</v>
      </c>
      <c r="N151">
        <v>3</v>
      </c>
      <c r="O151" t="s">
        <v>36</v>
      </c>
      <c r="P151">
        <v>6</v>
      </c>
      <c r="Q151">
        <v>46</v>
      </c>
      <c r="R151" s="8">
        <v>44991</v>
      </c>
      <c r="S151" t="s">
        <v>893</v>
      </c>
      <c r="T151" s="34">
        <f t="shared" si="16"/>
        <v>2</v>
      </c>
      <c r="U151" s="34">
        <f t="shared" si="17"/>
        <v>133.5</v>
      </c>
      <c r="V151" s="34">
        <f t="shared" si="18"/>
        <v>179.5</v>
      </c>
      <c r="W151" s="36">
        <f t="shared" si="23"/>
        <v>0.08</v>
      </c>
      <c r="X151" s="34">
        <f t="shared" si="19"/>
        <v>165.14000000000001</v>
      </c>
      <c r="Y151" s="34" t="str">
        <f t="shared" si="20"/>
        <v>Teresa Harvey</v>
      </c>
      <c r="Z151" s="34" t="str">
        <f t="shared" si="21"/>
        <v>BeforeTime</v>
      </c>
      <c r="AA151" s="34" t="str">
        <f t="shared" si="22"/>
        <v>gmail.com</v>
      </c>
    </row>
    <row r="152" spans="1:27" ht="14.25" customHeight="1" x14ac:dyDescent="0.3">
      <c r="A152" t="s">
        <v>894</v>
      </c>
      <c r="B152" t="s">
        <v>148</v>
      </c>
      <c r="C152" t="s">
        <v>895</v>
      </c>
      <c r="D152">
        <v>29</v>
      </c>
      <c r="E152" t="s">
        <v>29</v>
      </c>
      <c r="F152" t="s">
        <v>42</v>
      </c>
      <c r="G152" t="s">
        <v>896</v>
      </c>
      <c r="H152" t="s">
        <v>897</v>
      </c>
      <c r="I152" t="s">
        <v>898</v>
      </c>
      <c r="J152" s="8">
        <v>45251</v>
      </c>
      <c r="K152" t="s">
        <v>899</v>
      </c>
      <c r="L152" t="s">
        <v>323</v>
      </c>
      <c r="M152">
        <v>481.48</v>
      </c>
      <c r="N152">
        <v>4</v>
      </c>
      <c r="O152" t="s">
        <v>63</v>
      </c>
      <c r="P152">
        <v>3</v>
      </c>
      <c r="Q152">
        <v>54</v>
      </c>
      <c r="R152" s="8">
        <v>45256</v>
      </c>
      <c r="S152" t="s">
        <v>900</v>
      </c>
      <c r="T152" s="33">
        <f t="shared" si="16"/>
        <v>5</v>
      </c>
      <c r="U152" s="33">
        <f t="shared" si="17"/>
        <v>1925.92</v>
      </c>
      <c r="V152" s="33">
        <f t="shared" si="18"/>
        <v>1979.92</v>
      </c>
      <c r="W152" s="36">
        <f t="shared" si="23"/>
        <v>0</v>
      </c>
      <c r="X152" s="33">
        <f t="shared" si="19"/>
        <v>1979.92</v>
      </c>
      <c r="Y152" s="33" t="str">
        <f t="shared" si="20"/>
        <v>Amy Griffin</v>
      </c>
      <c r="Z152" s="33" t="str">
        <f t="shared" si="21"/>
        <v>Late</v>
      </c>
      <c r="AA152" s="33" t="str">
        <f t="shared" si="22"/>
        <v>rediffmail.com</v>
      </c>
    </row>
    <row r="153" spans="1:27" ht="14.25" customHeight="1" x14ac:dyDescent="0.3">
      <c r="A153" t="s">
        <v>546</v>
      </c>
      <c r="B153" t="s">
        <v>547</v>
      </c>
      <c r="C153" t="s">
        <v>548</v>
      </c>
      <c r="D153">
        <v>33</v>
      </c>
      <c r="E153" t="s">
        <v>52</v>
      </c>
      <c r="F153" t="s">
        <v>168</v>
      </c>
      <c r="G153" t="s">
        <v>549</v>
      </c>
      <c r="H153" t="s">
        <v>550</v>
      </c>
      <c r="I153" t="s">
        <v>901</v>
      </c>
      <c r="J153" s="8">
        <v>45200</v>
      </c>
      <c r="K153" t="s">
        <v>902</v>
      </c>
      <c r="L153" t="s">
        <v>340</v>
      </c>
      <c r="M153">
        <v>77.84</v>
      </c>
      <c r="N153">
        <v>5</v>
      </c>
      <c r="O153" t="s">
        <v>96</v>
      </c>
      <c r="P153">
        <v>1</v>
      </c>
      <c r="Q153">
        <v>41</v>
      </c>
      <c r="R153" s="8">
        <v>45206</v>
      </c>
      <c r="S153" t="s">
        <v>903</v>
      </c>
      <c r="T153" s="34">
        <f t="shared" si="16"/>
        <v>6</v>
      </c>
      <c r="U153" s="34">
        <f t="shared" si="17"/>
        <v>389.20000000000005</v>
      </c>
      <c r="V153" s="34">
        <f t="shared" si="18"/>
        <v>430.20000000000005</v>
      </c>
      <c r="W153" s="36">
        <f t="shared" si="23"/>
        <v>0.1</v>
      </c>
      <c r="X153" s="34">
        <f t="shared" si="19"/>
        <v>387.18000000000006</v>
      </c>
      <c r="Y153" s="34" t="str">
        <f t="shared" si="20"/>
        <v>Jodi Whitney</v>
      </c>
      <c r="Z153" s="34" t="str">
        <f t="shared" si="21"/>
        <v>Late</v>
      </c>
      <c r="AA153" s="34" t="str">
        <f t="shared" si="22"/>
        <v>yahoo.com</v>
      </c>
    </row>
    <row r="154" spans="1:27" ht="14.25" customHeight="1" x14ac:dyDescent="0.3">
      <c r="A154" t="s">
        <v>475</v>
      </c>
      <c r="B154" t="s">
        <v>108</v>
      </c>
      <c r="C154" t="s">
        <v>476</v>
      </c>
      <c r="D154">
        <v>33</v>
      </c>
      <c r="E154" t="s">
        <v>29</v>
      </c>
      <c r="F154" t="s">
        <v>168</v>
      </c>
      <c r="G154" t="s">
        <v>477</v>
      </c>
      <c r="H154" t="s">
        <v>478</v>
      </c>
      <c r="I154" t="s">
        <v>904</v>
      </c>
      <c r="J154" s="8">
        <v>45330</v>
      </c>
      <c r="K154" t="s">
        <v>905</v>
      </c>
      <c r="L154" t="s">
        <v>356</v>
      </c>
      <c r="M154">
        <v>496.59</v>
      </c>
      <c r="N154">
        <v>2</v>
      </c>
      <c r="O154" t="s">
        <v>96</v>
      </c>
      <c r="P154">
        <v>5</v>
      </c>
      <c r="Q154">
        <v>40</v>
      </c>
      <c r="R154" s="8">
        <v>45331</v>
      </c>
      <c r="S154" t="s">
        <v>906</v>
      </c>
      <c r="T154" s="33">
        <f t="shared" si="16"/>
        <v>1</v>
      </c>
      <c r="U154" s="33">
        <f t="shared" si="17"/>
        <v>993.18</v>
      </c>
      <c r="V154" s="33">
        <f t="shared" si="18"/>
        <v>1033.1799999999998</v>
      </c>
      <c r="W154" s="36">
        <f t="shared" si="23"/>
        <v>0.1</v>
      </c>
      <c r="X154" s="33">
        <f t="shared" si="19"/>
        <v>929.86199999999985</v>
      </c>
      <c r="Y154" s="33" t="str">
        <f t="shared" si="20"/>
        <v>Debra Hayes</v>
      </c>
      <c r="Z154" s="33" t="str">
        <f t="shared" si="21"/>
        <v>BeforeTime</v>
      </c>
      <c r="AA154" s="33" t="str">
        <f t="shared" si="22"/>
        <v>yahoo.com</v>
      </c>
    </row>
    <row r="155" spans="1:27" ht="14.25" customHeight="1" x14ac:dyDescent="0.3">
      <c r="A155" t="s">
        <v>280</v>
      </c>
      <c r="B155" t="s">
        <v>281</v>
      </c>
      <c r="C155" t="s">
        <v>282</v>
      </c>
      <c r="D155">
        <v>64</v>
      </c>
      <c r="E155" t="s">
        <v>52</v>
      </c>
      <c r="F155" t="s">
        <v>30</v>
      </c>
      <c r="G155" t="s">
        <v>283</v>
      </c>
      <c r="H155" t="s">
        <v>284</v>
      </c>
      <c r="I155" t="s">
        <v>907</v>
      </c>
      <c r="J155" s="8">
        <v>45129</v>
      </c>
      <c r="K155" t="s">
        <v>908</v>
      </c>
      <c r="L155" t="s">
        <v>154</v>
      </c>
      <c r="M155">
        <v>220.27</v>
      </c>
      <c r="N155">
        <v>3</v>
      </c>
      <c r="O155" t="s">
        <v>36</v>
      </c>
      <c r="P155">
        <v>6</v>
      </c>
      <c r="Q155">
        <v>48</v>
      </c>
      <c r="R155" s="8">
        <v>45132</v>
      </c>
      <c r="S155" t="s">
        <v>909</v>
      </c>
      <c r="T155" s="34">
        <f t="shared" si="16"/>
        <v>3</v>
      </c>
      <c r="U155" s="34">
        <f t="shared" si="17"/>
        <v>660.81000000000006</v>
      </c>
      <c r="V155" s="34">
        <f t="shared" si="18"/>
        <v>708.81000000000006</v>
      </c>
      <c r="W155" s="36">
        <f t="shared" si="23"/>
        <v>0.08</v>
      </c>
      <c r="X155" s="34">
        <f t="shared" si="19"/>
        <v>652.10520000000008</v>
      </c>
      <c r="Y155" s="34" t="str">
        <f t="shared" si="20"/>
        <v>Teresa Harvey</v>
      </c>
      <c r="Z155" s="34" t="str">
        <f t="shared" si="21"/>
        <v>BeforeTime</v>
      </c>
      <c r="AA155" s="34" t="str">
        <f t="shared" si="22"/>
        <v>gmail.com</v>
      </c>
    </row>
    <row r="156" spans="1:27" ht="14.25" customHeight="1" x14ac:dyDescent="0.3">
      <c r="A156" t="s">
        <v>272</v>
      </c>
      <c r="B156" t="s">
        <v>273</v>
      </c>
      <c r="C156" t="s">
        <v>274</v>
      </c>
      <c r="D156">
        <v>44</v>
      </c>
      <c r="E156" t="s">
        <v>29</v>
      </c>
      <c r="F156" t="s">
        <v>220</v>
      </c>
      <c r="G156" t="s">
        <v>275</v>
      </c>
      <c r="H156" t="s">
        <v>276</v>
      </c>
      <c r="I156" t="s">
        <v>910</v>
      </c>
      <c r="J156" s="8">
        <v>45584</v>
      </c>
      <c r="K156" t="s">
        <v>911</v>
      </c>
      <c r="L156" t="s">
        <v>308</v>
      </c>
      <c r="M156">
        <v>129.75</v>
      </c>
      <c r="N156">
        <v>1</v>
      </c>
      <c r="O156" t="s">
        <v>63</v>
      </c>
      <c r="P156">
        <v>7</v>
      </c>
      <c r="Q156">
        <v>44</v>
      </c>
      <c r="R156" s="8">
        <v>45591</v>
      </c>
      <c r="S156" t="s">
        <v>912</v>
      </c>
      <c r="T156" s="33">
        <f t="shared" si="16"/>
        <v>7</v>
      </c>
      <c r="U156" s="33">
        <f t="shared" si="17"/>
        <v>129.75</v>
      </c>
      <c r="V156" s="33">
        <f t="shared" si="18"/>
        <v>173.75</v>
      </c>
      <c r="W156" s="36">
        <f t="shared" si="23"/>
        <v>0</v>
      </c>
      <c r="X156" s="33">
        <f t="shared" si="19"/>
        <v>173.75</v>
      </c>
      <c r="Y156" s="33" t="str">
        <f t="shared" si="20"/>
        <v>Lauren Long</v>
      </c>
      <c r="Z156" s="33" t="str">
        <f t="shared" si="21"/>
        <v>Intime</v>
      </c>
      <c r="AA156" s="33" t="str">
        <f t="shared" si="22"/>
        <v>gmail.com</v>
      </c>
    </row>
    <row r="157" spans="1:27" ht="14.25" customHeight="1" x14ac:dyDescent="0.3">
      <c r="A157" t="s">
        <v>750</v>
      </c>
      <c r="B157" t="s">
        <v>751</v>
      </c>
      <c r="C157" t="s">
        <v>752</v>
      </c>
      <c r="D157">
        <v>43</v>
      </c>
      <c r="E157" t="s">
        <v>52</v>
      </c>
      <c r="F157" t="s">
        <v>159</v>
      </c>
      <c r="G157" t="s">
        <v>753</v>
      </c>
      <c r="H157" t="s">
        <v>754</v>
      </c>
      <c r="I157" t="s">
        <v>913</v>
      </c>
      <c r="J157" s="8">
        <v>45291</v>
      </c>
      <c r="K157" t="s">
        <v>914</v>
      </c>
      <c r="L157" t="s">
        <v>514</v>
      </c>
      <c r="M157">
        <v>136.30000000000001</v>
      </c>
      <c r="N157">
        <v>1</v>
      </c>
      <c r="O157" t="s">
        <v>58</v>
      </c>
      <c r="P157">
        <v>1</v>
      </c>
      <c r="Q157">
        <v>64</v>
      </c>
      <c r="R157" s="8">
        <v>45296</v>
      </c>
      <c r="S157" t="s">
        <v>915</v>
      </c>
      <c r="T157" s="34">
        <f t="shared" si="16"/>
        <v>5</v>
      </c>
      <c r="U157" s="34">
        <f t="shared" si="17"/>
        <v>136.30000000000001</v>
      </c>
      <c r="V157" s="34">
        <f t="shared" si="18"/>
        <v>200.3</v>
      </c>
      <c r="W157" s="36">
        <f t="shared" si="23"/>
        <v>0.15</v>
      </c>
      <c r="X157" s="34">
        <f t="shared" si="19"/>
        <v>170.255</v>
      </c>
      <c r="Y157" s="34" t="str">
        <f t="shared" si="20"/>
        <v>Barbara Fuller</v>
      </c>
      <c r="Z157" s="34" t="str">
        <f t="shared" si="21"/>
        <v>Late</v>
      </c>
      <c r="AA157" s="34" t="str">
        <f t="shared" si="22"/>
        <v>rediffmail.com</v>
      </c>
    </row>
    <row r="158" spans="1:27" ht="14.25" customHeight="1" x14ac:dyDescent="0.3">
      <c r="A158" t="s">
        <v>435</v>
      </c>
      <c r="B158" t="s">
        <v>436</v>
      </c>
      <c r="C158" t="s">
        <v>437</v>
      </c>
      <c r="D158">
        <v>28</v>
      </c>
      <c r="E158" t="s">
        <v>52</v>
      </c>
      <c r="F158" t="s">
        <v>76</v>
      </c>
      <c r="G158" t="s">
        <v>438</v>
      </c>
      <c r="H158" t="s">
        <v>439</v>
      </c>
      <c r="I158" t="s">
        <v>916</v>
      </c>
      <c r="J158" s="8">
        <v>45482</v>
      </c>
      <c r="K158" t="s">
        <v>917</v>
      </c>
      <c r="L158" t="s">
        <v>473</v>
      </c>
      <c r="M158">
        <v>286.07</v>
      </c>
      <c r="N158">
        <v>2</v>
      </c>
      <c r="O158" t="s">
        <v>36</v>
      </c>
      <c r="P158">
        <v>3</v>
      </c>
      <c r="Q158">
        <v>54</v>
      </c>
      <c r="R158" s="8">
        <v>45485</v>
      </c>
      <c r="S158" t="s">
        <v>918</v>
      </c>
      <c r="T158" s="33">
        <f t="shared" si="16"/>
        <v>3</v>
      </c>
      <c r="U158" s="33">
        <f t="shared" si="17"/>
        <v>572.14</v>
      </c>
      <c r="V158" s="33">
        <f t="shared" si="18"/>
        <v>626.14</v>
      </c>
      <c r="W158" s="36">
        <f t="shared" si="23"/>
        <v>0.08</v>
      </c>
      <c r="X158" s="33">
        <f t="shared" si="19"/>
        <v>576.04880000000003</v>
      </c>
      <c r="Y158" s="33" t="str">
        <f t="shared" si="20"/>
        <v>Mary Knight</v>
      </c>
      <c r="Z158" s="33" t="str">
        <f t="shared" si="21"/>
        <v>Intime</v>
      </c>
      <c r="AA158" s="33" t="str">
        <f t="shared" si="22"/>
        <v>yahoo.com</v>
      </c>
    </row>
    <row r="159" spans="1:27" ht="14.25" customHeight="1" x14ac:dyDescent="0.3">
      <c r="A159" t="s">
        <v>507</v>
      </c>
      <c r="B159" t="s">
        <v>508</v>
      </c>
      <c r="C159" t="s">
        <v>509</v>
      </c>
      <c r="D159">
        <v>64</v>
      </c>
      <c r="E159" t="s">
        <v>29</v>
      </c>
      <c r="F159" t="s">
        <v>30</v>
      </c>
      <c r="G159" t="s">
        <v>510</v>
      </c>
      <c r="H159" t="s">
        <v>511</v>
      </c>
      <c r="I159" t="s">
        <v>919</v>
      </c>
      <c r="J159" s="8">
        <v>45089</v>
      </c>
      <c r="K159" t="s">
        <v>920</v>
      </c>
      <c r="L159" t="s">
        <v>95</v>
      </c>
      <c r="M159">
        <v>363.64</v>
      </c>
      <c r="N159">
        <v>2</v>
      </c>
      <c r="O159" t="s">
        <v>63</v>
      </c>
      <c r="P159">
        <v>4</v>
      </c>
      <c r="Q159">
        <v>40</v>
      </c>
      <c r="R159" s="8">
        <v>45091</v>
      </c>
      <c r="S159" t="s">
        <v>921</v>
      </c>
      <c r="T159" s="34">
        <f t="shared" si="16"/>
        <v>2</v>
      </c>
      <c r="U159" s="34">
        <f t="shared" si="17"/>
        <v>727.28</v>
      </c>
      <c r="V159" s="34">
        <f t="shared" si="18"/>
        <v>767.28</v>
      </c>
      <c r="W159" s="36">
        <f t="shared" si="23"/>
        <v>0</v>
      </c>
      <c r="X159" s="34">
        <f t="shared" si="19"/>
        <v>767.28</v>
      </c>
      <c r="Y159" s="34" t="str">
        <f t="shared" si="20"/>
        <v>Sarah Butler</v>
      </c>
      <c r="Z159" s="34" t="str">
        <f t="shared" si="21"/>
        <v>BeforeTime</v>
      </c>
      <c r="AA159" s="34" t="str">
        <f t="shared" si="22"/>
        <v>rediffmail.com</v>
      </c>
    </row>
    <row r="160" spans="1:27" ht="14.25" customHeight="1" x14ac:dyDescent="0.3">
      <c r="A160" t="s">
        <v>435</v>
      </c>
      <c r="B160" t="s">
        <v>436</v>
      </c>
      <c r="C160" t="s">
        <v>437</v>
      </c>
      <c r="D160">
        <v>28</v>
      </c>
      <c r="E160" t="s">
        <v>52</v>
      </c>
      <c r="F160" t="s">
        <v>76</v>
      </c>
      <c r="G160" t="s">
        <v>438</v>
      </c>
      <c r="H160" t="s">
        <v>439</v>
      </c>
      <c r="I160" t="s">
        <v>922</v>
      </c>
      <c r="J160" s="8">
        <v>45610</v>
      </c>
      <c r="K160" t="s">
        <v>923</v>
      </c>
      <c r="L160" t="s">
        <v>637</v>
      </c>
      <c r="M160">
        <v>445.81</v>
      </c>
      <c r="N160">
        <v>5</v>
      </c>
      <c r="O160" t="s">
        <v>36</v>
      </c>
      <c r="P160">
        <v>6</v>
      </c>
      <c r="Q160">
        <v>70</v>
      </c>
      <c r="R160" s="8">
        <v>45613</v>
      </c>
      <c r="S160" t="s">
        <v>924</v>
      </c>
      <c r="T160" s="33">
        <f t="shared" si="16"/>
        <v>3</v>
      </c>
      <c r="U160" s="33">
        <f t="shared" si="17"/>
        <v>2229.0500000000002</v>
      </c>
      <c r="V160" s="33">
        <f t="shared" si="18"/>
        <v>2299.0500000000002</v>
      </c>
      <c r="W160" s="36">
        <f t="shared" si="23"/>
        <v>0.08</v>
      </c>
      <c r="X160" s="33">
        <f t="shared" si="19"/>
        <v>2115.1260000000002</v>
      </c>
      <c r="Y160" s="33" t="str">
        <f t="shared" si="20"/>
        <v>Mary Knight</v>
      </c>
      <c r="Z160" s="33" t="str">
        <f t="shared" si="21"/>
        <v>BeforeTime</v>
      </c>
      <c r="AA160" s="33" t="str">
        <f t="shared" si="22"/>
        <v>yahoo.com</v>
      </c>
    </row>
    <row r="161" spans="1:27" ht="14.25" customHeight="1" x14ac:dyDescent="0.3">
      <c r="A161" t="s">
        <v>925</v>
      </c>
      <c r="B161" t="s">
        <v>926</v>
      </c>
      <c r="C161" t="s">
        <v>927</v>
      </c>
      <c r="D161">
        <v>24</v>
      </c>
      <c r="E161" t="s">
        <v>52</v>
      </c>
      <c r="F161" t="s">
        <v>220</v>
      </c>
      <c r="G161" t="s">
        <v>928</v>
      </c>
      <c r="H161" t="s">
        <v>929</v>
      </c>
      <c r="I161" t="s">
        <v>930</v>
      </c>
      <c r="J161" s="8">
        <v>45045</v>
      </c>
      <c r="K161" t="s">
        <v>931</v>
      </c>
      <c r="L161" t="s">
        <v>738</v>
      </c>
      <c r="M161">
        <v>110.95</v>
      </c>
      <c r="N161">
        <v>5</v>
      </c>
      <c r="O161" t="s">
        <v>85</v>
      </c>
      <c r="P161">
        <v>5</v>
      </c>
      <c r="Q161">
        <v>62</v>
      </c>
      <c r="R161" s="8">
        <v>45047</v>
      </c>
      <c r="S161" t="s">
        <v>932</v>
      </c>
      <c r="T161" s="34">
        <f t="shared" si="16"/>
        <v>2</v>
      </c>
      <c r="U161" s="34">
        <f t="shared" si="17"/>
        <v>554.75</v>
      </c>
      <c r="V161" s="34">
        <f t="shared" si="18"/>
        <v>616.75</v>
      </c>
      <c r="W161" s="36">
        <f t="shared" si="23"/>
        <v>0.2</v>
      </c>
      <c r="X161" s="34">
        <f t="shared" si="19"/>
        <v>493.40000000000003</v>
      </c>
      <c r="Y161" s="34" t="str">
        <f t="shared" si="20"/>
        <v>Rachael Robinson</v>
      </c>
      <c r="Z161" s="34" t="str">
        <f t="shared" si="21"/>
        <v>BeforeTime</v>
      </c>
      <c r="AA161" s="34" t="str">
        <f t="shared" si="22"/>
        <v>rediffmail.com</v>
      </c>
    </row>
    <row r="162" spans="1:27" ht="14.25" customHeight="1" x14ac:dyDescent="0.3">
      <c r="A162" t="s">
        <v>483</v>
      </c>
      <c r="B162" t="s">
        <v>484</v>
      </c>
      <c r="C162" t="s">
        <v>130</v>
      </c>
      <c r="D162">
        <v>68</v>
      </c>
      <c r="E162" t="s">
        <v>52</v>
      </c>
      <c r="F162" t="s">
        <v>220</v>
      </c>
      <c r="G162" t="s">
        <v>485</v>
      </c>
      <c r="H162" t="s">
        <v>486</v>
      </c>
      <c r="I162" t="s">
        <v>933</v>
      </c>
      <c r="J162" s="8">
        <v>45529</v>
      </c>
      <c r="K162" t="s">
        <v>934</v>
      </c>
      <c r="L162" t="s">
        <v>182</v>
      </c>
      <c r="M162">
        <v>104.18</v>
      </c>
      <c r="N162">
        <v>4</v>
      </c>
      <c r="O162" t="s">
        <v>36</v>
      </c>
      <c r="P162">
        <v>4</v>
      </c>
      <c r="Q162">
        <v>45</v>
      </c>
      <c r="R162" s="8">
        <v>45536</v>
      </c>
      <c r="S162" t="s">
        <v>935</v>
      </c>
      <c r="T162" s="33">
        <f t="shared" si="16"/>
        <v>7</v>
      </c>
      <c r="U162" s="33">
        <f t="shared" si="17"/>
        <v>416.72</v>
      </c>
      <c r="V162" s="33">
        <f t="shared" si="18"/>
        <v>461.72</v>
      </c>
      <c r="W162" s="36">
        <f t="shared" si="23"/>
        <v>0.08</v>
      </c>
      <c r="X162" s="33">
        <f t="shared" si="19"/>
        <v>424.78240000000005</v>
      </c>
      <c r="Y162" s="33" t="str">
        <f t="shared" si="20"/>
        <v>Brittany Stewart</v>
      </c>
      <c r="Z162" s="33" t="str">
        <f t="shared" si="21"/>
        <v>Late</v>
      </c>
      <c r="AA162" s="33" t="str">
        <f t="shared" si="22"/>
        <v>gmail.com</v>
      </c>
    </row>
    <row r="163" spans="1:27" ht="14.25" customHeight="1" x14ac:dyDescent="0.3">
      <c r="A163" t="s">
        <v>466</v>
      </c>
      <c r="B163" t="s">
        <v>467</v>
      </c>
      <c r="C163" t="s">
        <v>468</v>
      </c>
      <c r="D163">
        <v>18</v>
      </c>
      <c r="E163" t="s">
        <v>41</v>
      </c>
      <c r="F163" t="s">
        <v>42</v>
      </c>
      <c r="G163" t="s">
        <v>469</v>
      </c>
      <c r="H163" t="s">
        <v>470</v>
      </c>
      <c r="I163" t="s">
        <v>936</v>
      </c>
      <c r="J163" s="8">
        <v>45535</v>
      </c>
      <c r="K163" t="s">
        <v>937</v>
      </c>
      <c r="L163" t="s">
        <v>356</v>
      </c>
      <c r="M163">
        <v>496.59</v>
      </c>
      <c r="N163">
        <v>4</v>
      </c>
      <c r="O163" t="s">
        <v>85</v>
      </c>
      <c r="P163">
        <v>1</v>
      </c>
      <c r="Q163">
        <v>59</v>
      </c>
      <c r="R163" s="8">
        <v>45541</v>
      </c>
      <c r="S163" t="s">
        <v>938</v>
      </c>
      <c r="T163" s="34">
        <f t="shared" si="16"/>
        <v>6</v>
      </c>
      <c r="U163" s="34">
        <f t="shared" si="17"/>
        <v>1986.36</v>
      </c>
      <c r="V163" s="34">
        <f t="shared" si="18"/>
        <v>2045.36</v>
      </c>
      <c r="W163" s="36">
        <f t="shared" si="23"/>
        <v>0.2</v>
      </c>
      <c r="X163" s="34">
        <f t="shared" si="19"/>
        <v>1636.288</v>
      </c>
      <c r="Y163" s="34" t="str">
        <f t="shared" si="20"/>
        <v>Lori Cook</v>
      </c>
      <c r="Z163" s="34" t="str">
        <f t="shared" si="21"/>
        <v>Late</v>
      </c>
      <c r="AA163" s="34" t="str">
        <f t="shared" si="22"/>
        <v>rediffmail.com</v>
      </c>
    </row>
    <row r="164" spans="1:27" ht="14.25" customHeight="1" x14ac:dyDescent="0.3">
      <c r="A164" t="s">
        <v>119</v>
      </c>
      <c r="B164" t="s">
        <v>120</v>
      </c>
      <c r="C164" t="s">
        <v>121</v>
      </c>
      <c r="D164">
        <v>20</v>
      </c>
      <c r="E164" t="s">
        <v>29</v>
      </c>
      <c r="F164" t="s">
        <v>90</v>
      </c>
      <c r="G164" t="s">
        <v>122</v>
      </c>
      <c r="H164" t="s">
        <v>123</v>
      </c>
      <c r="I164" t="s">
        <v>939</v>
      </c>
      <c r="J164" s="8">
        <v>44981</v>
      </c>
      <c r="K164" t="s">
        <v>940</v>
      </c>
      <c r="L164" t="s">
        <v>941</v>
      </c>
      <c r="M164">
        <v>107.47</v>
      </c>
      <c r="N164">
        <v>5</v>
      </c>
      <c r="O164" t="s">
        <v>85</v>
      </c>
      <c r="P164">
        <v>6</v>
      </c>
      <c r="Q164">
        <v>48</v>
      </c>
      <c r="R164" s="8">
        <v>44987</v>
      </c>
      <c r="S164" t="s">
        <v>942</v>
      </c>
      <c r="T164" s="33">
        <f t="shared" si="16"/>
        <v>6</v>
      </c>
      <c r="U164" s="33">
        <f t="shared" si="17"/>
        <v>537.35</v>
      </c>
      <c r="V164" s="33">
        <f t="shared" si="18"/>
        <v>585.35</v>
      </c>
      <c r="W164" s="36">
        <f t="shared" si="23"/>
        <v>0.2</v>
      </c>
      <c r="X164" s="33">
        <f t="shared" si="19"/>
        <v>468.28000000000003</v>
      </c>
      <c r="Y164" s="33" t="str">
        <f t="shared" si="20"/>
        <v>Bobby Forbes</v>
      </c>
      <c r="Z164" s="33" t="str">
        <f t="shared" si="21"/>
        <v>Intime</v>
      </c>
      <c r="AA164" s="33" t="str">
        <f t="shared" si="22"/>
        <v>gmail.com</v>
      </c>
    </row>
    <row r="165" spans="1:27" ht="14.25" customHeight="1" x14ac:dyDescent="0.3">
      <c r="A165" t="s">
        <v>925</v>
      </c>
      <c r="B165" t="s">
        <v>926</v>
      </c>
      <c r="C165" t="s">
        <v>927</v>
      </c>
      <c r="D165">
        <v>24</v>
      </c>
      <c r="E165" t="s">
        <v>52</v>
      </c>
      <c r="F165" t="s">
        <v>220</v>
      </c>
      <c r="G165" t="s">
        <v>928</v>
      </c>
      <c r="H165" t="s">
        <v>929</v>
      </c>
      <c r="I165" t="s">
        <v>943</v>
      </c>
      <c r="J165" s="8">
        <v>45207</v>
      </c>
      <c r="K165" t="s">
        <v>944</v>
      </c>
      <c r="L165" t="s">
        <v>246</v>
      </c>
      <c r="M165">
        <v>282.63</v>
      </c>
      <c r="N165">
        <v>1</v>
      </c>
      <c r="O165" t="s">
        <v>63</v>
      </c>
      <c r="P165">
        <v>5</v>
      </c>
      <c r="Q165">
        <v>45</v>
      </c>
      <c r="R165" s="8">
        <v>45214</v>
      </c>
      <c r="S165" t="s">
        <v>945</v>
      </c>
      <c r="T165" s="34">
        <f t="shared" si="16"/>
        <v>7</v>
      </c>
      <c r="U165" s="34">
        <f t="shared" si="17"/>
        <v>282.63</v>
      </c>
      <c r="V165" s="34">
        <f t="shared" si="18"/>
        <v>327.63</v>
      </c>
      <c r="W165" s="36">
        <f t="shared" si="23"/>
        <v>0</v>
      </c>
      <c r="X165" s="34">
        <f t="shared" si="19"/>
        <v>327.63</v>
      </c>
      <c r="Y165" s="34" t="str">
        <f t="shared" si="20"/>
        <v>Rachael Robinson</v>
      </c>
      <c r="Z165" s="34" t="str">
        <f t="shared" si="21"/>
        <v>Late</v>
      </c>
      <c r="AA165" s="34" t="str">
        <f t="shared" si="22"/>
        <v>rediffmail.com</v>
      </c>
    </row>
    <row r="166" spans="1:27" ht="14.25" customHeight="1" x14ac:dyDescent="0.3">
      <c r="A166" t="s">
        <v>128</v>
      </c>
      <c r="B166" t="s">
        <v>129</v>
      </c>
      <c r="C166" t="s">
        <v>130</v>
      </c>
      <c r="D166">
        <v>30</v>
      </c>
      <c r="E166" t="s">
        <v>41</v>
      </c>
      <c r="F166" t="s">
        <v>42</v>
      </c>
      <c r="G166" t="s">
        <v>131</v>
      </c>
      <c r="H166" t="s">
        <v>132</v>
      </c>
      <c r="I166" t="s">
        <v>946</v>
      </c>
      <c r="J166" s="8">
        <v>45185</v>
      </c>
      <c r="K166" t="s">
        <v>947</v>
      </c>
      <c r="L166" t="s">
        <v>430</v>
      </c>
      <c r="M166">
        <v>369.03</v>
      </c>
      <c r="N166">
        <v>1</v>
      </c>
      <c r="O166" t="s">
        <v>85</v>
      </c>
      <c r="P166">
        <v>1</v>
      </c>
      <c r="Q166">
        <v>48</v>
      </c>
      <c r="R166" s="8">
        <v>45192</v>
      </c>
      <c r="S166" t="s">
        <v>948</v>
      </c>
      <c r="T166" s="33">
        <f t="shared" si="16"/>
        <v>7</v>
      </c>
      <c r="U166" s="33">
        <f t="shared" si="17"/>
        <v>369.03</v>
      </c>
      <c r="V166" s="33">
        <f t="shared" si="18"/>
        <v>417.03</v>
      </c>
      <c r="W166" s="36">
        <f t="shared" si="23"/>
        <v>0.2</v>
      </c>
      <c r="X166" s="33">
        <f t="shared" si="19"/>
        <v>333.62400000000002</v>
      </c>
      <c r="Y166" s="33" t="str">
        <f t="shared" si="20"/>
        <v>Joseph Stewart</v>
      </c>
      <c r="Z166" s="33" t="str">
        <f t="shared" si="21"/>
        <v>Late</v>
      </c>
      <c r="AA166" s="33" t="str">
        <f t="shared" si="22"/>
        <v>yahoo.com</v>
      </c>
    </row>
    <row r="167" spans="1:27" ht="14.25" customHeight="1" x14ac:dyDescent="0.3">
      <c r="A167" t="s">
        <v>147</v>
      </c>
      <c r="B167" t="s">
        <v>148</v>
      </c>
      <c r="C167" t="s">
        <v>149</v>
      </c>
      <c r="D167">
        <v>44</v>
      </c>
      <c r="E167" t="s">
        <v>41</v>
      </c>
      <c r="F167" t="s">
        <v>90</v>
      </c>
      <c r="G167" t="s">
        <v>150</v>
      </c>
      <c r="H167" t="s">
        <v>151</v>
      </c>
      <c r="I167" t="s">
        <v>949</v>
      </c>
      <c r="J167" s="8">
        <v>45513</v>
      </c>
      <c r="K167" t="s">
        <v>950</v>
      </c>
      <c r="L167" t="s">
        <v>182</v>
      </c>
      <c r="M167">
        <v>104.18</v>
      </c>
      <c r="N167">
        <v>2</v>
      </c>
      <c r="O167" t="s">
        <v>63</v>
      </c>
      <c r="P167">
        <v>2</v>
      </c>
      <c r="Q167">
        <v>57</v>
      </c>
      <c r="R167" s="8">
        <v>45515</v>
      </c>
      <c r="S167" t="s">
        <v>951</v>
      </c>
      <c r="T167" s="34">
        <f t="shared" si="16"/>
        <v>2</v>
      </c>
      <c r="U167" s="34">
        <f t="shared" si="17"/>
        <v>208.36</v>
      </c>
      <c r="V167" s="34">
        <f t="shared" si="18"/>
        <v>265.36</v>
      </c>
      <c r="W167" s="36">
        <f t="shared" si="23"/>
        <v>0</v>
      </c>
      <c r="X167" s="34">
        <f t="shared" si="19"/>
        <v>265.36</v>
      </c>
      <c r="Y167" s="34" t="str">
        <f t="shared" si="20"/>
        <v>Amy Reid</v>
      </c>
      <c r="Z167" s="34" t="str">
        <f t="shared" si="21"/>
        <v>Intime</v>
      </c>
      <c r="AA167" s="34" t="str">
        <f t="shared" si="22"/>
        <v>rediffmail.com</v>
      </c>
    </row>
    <row r="168" spans="1:27" ht="14.25" customHeight="1" x14ac:dyDescent="0.3">
      <c r="A168" t="s">
        <v>412</v>
      </c>
      <c r="B168" t="s">
        <v>228</v>
      </c>
      <c r="C168" t="s">
        <v>413</v>
      </c>
      <c r="D168">
        <v>28</v>
      </c>
      <c r="E168" t="s">
        <v>52</v>
      </c>
      <c r="F168" t="s">
        <v>140</v>
      </c>
      <c r="G168" t="s">
        <v>414</v>
      </c>
      <c r="H168" t="s">
        <v>415</v>
      </c>
      <c r="I168" t="s">
        <v>952</v>
      </c>
      <c r="J168" s="8">
        <v>45550</v>
      </c>
      <c r="K168" t="s">
        <v>953</v>
      </c>
      <c r="L168" t="s">
        <v>154</v>
      </c>
      <c r="M168">
        <v>220.27</v>
      </c>
      <c r="N168">
        <v>2</v>
      </c>
      <c r="O168" t="s">
        <v>85</v>
      </c>
      <c r="P168">
        <v>1</v>
      </c>
      <c r="Q168">
        <v>42</v>
      </c>
      <c r="R168" s="8">
        <v>45552</v>
      </c>
      <c r="S168" t="s">
        <v>954</v>
      </c>
      <c r="T168" s="33">
        <f t="shared" si="16"/>
        <v>2</v>
      </c>
      <c r="U168" s="33">
        <f t="shared" si="17"/>
        <v>440.54</v>
      </c>
      <c r="V168" s="33">
        <f t="shared" si="18"/>
        <v>482.54</v>
      </c>
      <c r="W168" s="36">
        <f t="shared" si="23"/>
        <v>0.2</v>
      </c>
      <c r="X168" s="33">
        <f t="shared" si="19"/>
        <v>386.03200000000004</v>
      </c>
      <c r="Y168" s="33" t="str">
        <f t="shared" si="20"/>
        <v>John Ramirez</v>
      </c>
      <c r="Z168" s="33" t="str">
        <f t="shared" si="21"/>
        <v>Late</v>
      </c>
      <c r="AA168" s="33" t="str">
        <f t="shared" si="22"/>
        <v>outlook.com</v>
      </c>
    </row>
    <row r="169" spans="1:27" ht="14.25" customHeight="1" x14ac:dyDescent="0.3">
      <c r="A169" t="s">
        <v>535</v>
      </c>
      <c r="B169" t="s">
        <v>536</v>
      </c>
      <c r="C169" t="s">
        <v>537</v>
      </c>
      <c r="D169">
        <v>32</v>
      </c>
      <c r="E169" t="s">
        <v>52</v>
      </c>
      <c r="F169" t="s">
        <v>90</v>
      </c>
      <c r="G169" t="s">
        <v>538</v>
      </c>
      <c r="H169" t="s">
        <v>539</v>
      </c>
      <c r="I169" t="s">
        <v>955</v>
      </c>
      <c r="J169" s="8">
        <v>45125</v>
      </c>
      <c r="K169" t="s">
        <v>956</v>
      </c>
      <c r="L169" t="s">
        <v>657</v>
      </c>
      <c r="M169">
        <v>235.63</v>
      </c>
      <c r="N169">
        <v>5</v>
      </c>
      <c r="O169" t="s">
        <v>36</v>
      </c>
      <c r="P169">
        <v>4</v>
      </c>
      <c r="Q169">
        <v>52</v>
      </c>
      <c r="R169" s="8">
        <v>45129</v>
      </c>
      <c r="S169" t="s">
        <v>957</v>
      </c>
      <c r="T169" s="34">
        <f t="shared" si="16"/>
        <v>4</v>
      </c>
      <c r="U169" s="34">
        <f t="shared" si="17"/>
        <v>1178.1500000000001</v>
      </c>
      <c r="V169" s="34">
        <f t="shared" si="18"/>
        <v>1230.1500000000001</v>
      </c>
      <c r="W169" s="36">
        <f t="shared" si="23"/>
        <v>0.08</v>
      </c>
      <c r="X169" s="34">
        <f t="shared" si="19"/>
        <v>1131.7380000000001</v>
      </c>
      <c r="Y169" s="34" t="str">
        <f t="shared" si="20"/>
        <v>Brandon Cruz</v>
      </c>
      <c r="Z169" s="34" t="str">
        <f t="shared" si="21"/>
        <v>Intime</v>
      </c>
      <c r="AA169" s="34" t="str">
        <f t="shared" si="22"/>
        <v>gmail.com</v>
      </c>
    </row>
    <row r="170" spans="1:27" ht="14.25" customHeight="1" x14ac:dyDescent="0.3">
      <c r="A170" t="s">
        <v>639</v>
      </c>
      <c r="B170" t="s">
        <v>148</v>
      </c>
      <c r="C170" t="s">
        <v>640</v>
      </c>
      <c r="D170">
        <v>44</v>
      </c>
      <c r="E170" t="s">
        <v>52</v>
      </c>
      <c r="F170" t="s">
        <v>90</v>
      </c>
      <c r="G170" t="s">
        <v>641</v>
      </c>
      <c r="H170" t="s">
        <v>642</v>
      </c>
      <c r="I170" t="s">
        <v>958</v>
      </c>
      <c r="J170" s="8">
        <v>45186</v>
      </c>
      <c r="K170" t="s">
        <v>959</v>
      </c>
      <c r="L170" t="s">
        <v>47</v>
      </c>
      <c r="M170">
        <v>166.28</v>
      </c>
      <c r="N170">
        <v>4</v>
      </c>
      <c r="O170" t="s">
        <v>85</v>
      </c>
      <c r="P170">
        <v>6</v>
      </c>
      <c r="Q170">
        <v>36</v>
      </c>
      <c r="R170" s="8">
        <v>45193</v>
      </c>
      <c r="S170" t="s">
        <v>960</v>
      </c>
      <c r="T170" s="33">
        <f t="shared" si="16"/>
        <v>7</v>
      </c>
      <c r="U170" s="33">
        <f t="shared" si="17"/>
        <v>665.12</v>
      </c>
      <c r="V170" s="33">
        <f t="shared" si="18"/>
        <v>701.12</v>
      </c>
      <c r="W170" s="36">
        <f t="shared" si="23"/>
        <v>0.2</v>
      </c>
      <c r="X170" s="33">
        <f t="shared" si="19"/>
        <v>560.89600000000007</v>
      </c>
      <c r="Y170" s="33" t="str">
        <f t="shared" si="20"/>
        <v>Amy Ellis</v>
      </c>
      <c r="Z170" s="33" t="str">
        <f t="shared" si="21"/>
        <v>Late</v>
      </c>
      <c r="AA170" s="33" t="str">
        <f t="shared" si="22"/>
        <v>gmail.com</v>
      </c>
    </row>
    <row r="171" spans="1:27" ht="14.25" customHeight="1" x14ac:dyDescent="0.3">
      <c r="A171" t="s">
        <v>128</v>
      </c>
      <c r="B171" t="s">
        <v>129</v>
      </c>
      <c r="C171" t="s">
        <v>130</v>
      </c>
      <c r="D171">
        <v>30</v>
      </c>
      <c r="E171" t="s">
        <v>41</v>
      </c>
      <c r="F171" t="s">
        <v>42</v>
      </c>
      <c r="G171" t="s">
        <v>131</v>
      </c>
      <c r="H171" t="s">
        <v>132</v>
      </c>
      <c r="I171" t="s">
        <v>961</v>
      </c>
      <c r="J171" s="8">
        <v>45120</v>
      </c>
      <c r="K171" t="s">
        <v>962</v>
      </c>
      <c r="L171" t="s">
        <v>62</v>
      </c>
      <c r="M171">
        <v>405</v>
      </c>
      <c r="N171">
        <v>5</v>
      </c>
      <c r="O171" t="s">
        <v>96</v>
      </c>
      <c r="P171">
        <v>6</v>
      </c>
      <c r="Q171">
        <v>36</v>
      </c>
      <c r="R171" s="8">
        <v>45127</v>
      </c>
      <c r="S171" t="s">
        <v>963</v>
      </c>
      <c r="T171" s="34">
        <f t="shared" si="16"/>
        <v>7</v>
      </c>
      <c r="U171" s="34">
        <f t="shared" si="17"/>
        <v>2025</v>
      </c>
      <c r="V171" s="34">
        <f t="shared" si="18"/>
        <v>2061</v>
      </c>
      <c r="W171" s="36">
        <f t="shared" si="23"/>
        <v>0.1</v>
      </c>
      <c r="X171" s="34">
        <f t="shared" si="19"/>
        <v>1854.9</v>
      </c>
      <c r="Y171" s="34" t="str">
        <f t="shared" si="20"/>
        <v>Joseph Stewart</v>
      </c>
      <c r="Z171" s="34" t="str">
        <f t="shared" si="21"/>
        <v>Late</v>
      </c>
      <c r="AA171" s="34" t="str">
        <f t="shared" si="22"/>
        <v>yahoo.com</v>
      </c>
    </row>
    <row r="172" spans="1:27" ht="14.25" customHeight="1" x14ac:dyDescent="0.3">
      <c r="A172" t="s">
        <v>165</v>
      </c>
      <c r="B172" t="s">
        <v>166</v>
      </c>
      <c r="C172" t="s">
        <v>167</v>
      </c>
      <c r="D172">
        <v>46</v>
      </c>
      <c r="E172" t="s">
        <v>29</v>
      </c>
      <c r="F172" t="s">
        <v>168</v>
      </c>
      <c r="G172" t="s">
        <v>169</v>
      </c>
      <c r="H172" t="s">
        <v>170</v>
      </c>
      <c r="I172" t="s">
        <v>964</v>
      </c>
      <c r="J172" s="8">
        <v>45591</v>
      </c>
      <c r="K172" t="s">
        <v>965</v>
      </c>
      <c r="L172" t="s">
        <v>126</v>
      </c>
      <c r="M172">
        <v>257.06</v>
      </c>
      <c r="N172">
        <v>2</v>
      </c>
      <c r="O172" t="s">
        <v>58</v>
      </c>
      <c r="P172">
        <v>7</v>
      </c>
      <c r="Q172">
        <v>59</v>
      </c>
      <c r="R172" s="8">
        <v>45592</v>
      </c>
      <c r="S172" t="s">
        <v>966</v>
      </c>
      <c r="T172" s="33">
        <f t="shared" si="16"/>
        <v>1</v>
      </c>
      <c r="U172" s="33">
        <f t="shared" si="17"/>
        <v>514.12</v>
      </c>
      <c r="V172" s="33">
        <f t="shared" si="18"/>
        <v>573.12</v>
      </c>
      <c r="W172" s="36">
        <f t="shared" si="23"/>
        <v>0.15</v>
      </c>
      <c r="X172" s="33">
        <f t="shared" si="19"/>
        <v>487.15199999999999</v>
      </c>
      <c r="Y172" s="33" t="str">
        <f t="shared" si="20"/>
        <v>Erin Miller</v>
      </c>
      <c r="Z172" s="33" t="str">
        <f t="shared" si="21"/>
        <v>BeforeTime</v>
      </c>
      <c r="AA172" s="33" t="str">
        <f t="shared" si="22"/>
        <v>gmail.com</v>
      </c>
    </row>
    <row r="173" spans="1:27" ht="14.25" customHeight="1" x14ac:dyDescent="0.3">
      <c r="A173" t="s">
        <v>925</v>
      </c>
      <c r="B173" t="s">
        <v>926</v>
      </c>
      <c r="C173" t="s">
        <v>927</v>
      </c>
      <c r="D173">
        <v>24</v>
      </c>
      <c r="E173" t="s">
        <v>52</v>
      </c>
      <c r="F173" t="s">
        <v>220</v>
      </c>
      <c r="G173" t="s">
        <v>928</v>
      </c>
      <c r="H173" t="s">
        <v>929</v>
      </c>
      <c r="I173" t="s">
        <v>967</v>
      </c>
      <c r="J173" s="8">
        <v>45525</v>
      </c>
      <c r="K173" t="s">
        <v>968</v>
      </c>
      <c r="L173" t="s">
        <v>418</v>
      </c>
      <c r="M173">
        <v>44.5</v>
      </c>
      <c r="N173">
        <v>4</v>
      </c>
      <c r="O173" t="s">
        <v>36</v>
      </c>
      <c r="P173">
        <v>5</v>
      </c>
      <c r="Q173">
        <v>40</v>
      </c>
      <c r="R173" s="8">
        <v>45531</v>
      </c>
      <c r="S173" t="s">
        <v>969</v>
      </c>
      <c r="T173" s="34">
        <f t="shared" si="16"/>
        <v>6</v>
      </c>
      <c r="U173" s="34">
        <f t="shared" si="17"/>
        <v>178</v>
      </c>
      <c r="V173" s="34">
        <f t="shared" si="18"/>
        <v>218</v>
      </c>
      <c r="W173" s="36">
        <f t="shared" si="23"/>
        <v>0.08</v>
      </c>
      <c r="X173" s="34">
        <f t="shared" si="19"/>
        <v>200.56</v>
      </c>
      <c r="Y173" s="34" t="str">
        <f t="shared" si="20"/>
        <v>Rachael Robinson</v>
      </c>
      <c r="Z173" s="34" t="str">
        <f t="shared" si="21"/>
        <v>Late</v>
      </c>
      <c r="AA173" s="34" t="str">
        <f t="shared" si="22"/>
        <v>rediffmail.com</v>
      </c>
    </row>
    <row r="174" spans="1:27" ht="14.25" customHeight="1" x14ac:dyDescent="0.3">
      <c r="A174" t="s">
        <v>639</v>
      </c>
      <c r="B174" t="s">
        <v>148</v>
      </c>
      <c r="C174" t="s">
        <v>640</v>
      </c>
      <c r="D174">
        <v>44</v>
      </c>
      <c r="E174" t="s">
        <v>52</v>
      </c>
      <c r="F174" t="s">
        <v>90</v>
      </c>
      <c r="G174" t="s">
        <v>641</v>
      </c>
      <c r="H174" t="s">
        <v>642</v>
      </c>
      <c r="I174" t="s">
        <v>970</v>
      </c>
      <c r="J174" s="8">
        <v>45561</v>
      </c>
      <c r="K174" t="s">
        <v>971</v>
      </c>
      <c r="L174" t="s">
        <v>418</v>
      </c>
      <c r="M174">
        <v>44.5</v>
      </c>
      <c r="N174">
        <v>2</v>
      </c>
      <c r="O174" t="s">
        <v>58</v>
      </c>
      <c r="P174">
        <v>5</v>
      </c>
      <c r="Q174">
        <v>52</v>
      </c>
      <c r="R174" s="8">
        <v>45563</v>
      </c>
      <c r="S174" t="s">
        <v>972</v>
      </c>
      <c r="T174" s="33">
        <f t="shared" si="16"/>
        <v>2</v>
      </c>
      <c r="U174" s="33">
        <f t="shared" si="17"/>
        <v>89</v>
      </c>
      <c r="V174" s="33">
        <f t="shared" si="18"/>
        <v>141</v>
      </c>
      <c r="W174" s="36">
        <f t="shared" si="23"/>
        <v>0.15</v>
      </c>
      <c r="X174" s="33">
        <f t="shared" si="19"/>
        <v>119.85</v>
      </c>
      <c r="Y174" s="33" t="str">
        <f t="shared" si="20"/>
        <v>Amy Ellis</v>
      </c>
      <c r="Z174" s="33" t="str">
        <f t="shared" si="21"/>
        <v>BeforeTime</v>
      </c>
      <c r="AA174" s="33" t="str">
        <f t="shared" si="22"/>
        <v>gmail.com</v>
      </c>
    </row>
    <row r="175" spans="1:27" ht="14.25" customHeight="1" x14ac:dyDescent="0.3">
      <c r="A175" t="s">
        <v>622</v>
      </c>
      <c r="B175" t="s">
        <v>129</v>
      </c>
      <c r="C175" t="s">
        <v>623</v>
      </c>
      <c r="D175">
        <v>47</v>
      </c>
      <c r="E175" t="s">
        <v>52</v>
      </c>
      <c r="F175" t="s">
        <v>76</v>
      </c>
      <c r="G175" t="s">
        <v>624</v>
      </c>
      <c r="H175" t="s">
        <v>625</v>
      </c>
      <c r="I175" t="s">
        <v>973</v>
      </c>
      <c r="J175" s="8">
        <v>45051</v>
      </c>
      <c r="K175" t="s">
        <v>974</v>
      </c>
      <c r="L175" t="s">
        <v>308</v>
      </c>
      <c r="M175">
        <v>129.75</v>
      </c>
      <c r="N175">
        <v>5</v>
      </c>
      <c r="O175" t="s">
        <v>63</v>
      </c>
      <c r="P175">
        <v>3</v>
      </c>
      <c r="Q175">
        <v>43</v>
      </c>
      <c r="R175" s="8">
        <v>45057</v>
      </c>
      <c r="S175" t="s">
        <v>975</v>
      </c>
      <c r="T175" s="34">
        <f t="shared" si="16"/>
        <v>6</v>
      </c>
      <c r="U175" s="34">
        <f t="shared" si="17"/>
        <v>648.75</v>
      </c>
      <c r="V175" s="34">
        <f t="shared" si="18"/>
        <v>691.75</v>
      </c>
      <c r="W175" s="36">
        <f t="shared" si="23"/>
        <v>0</v>
      </c>
      <c r="X175" s="34">
        <f t="shared" si="19"/>
        <v>691.75</v>
      </c>
      <c r="Y175" s="34" t="str">
        <f t="shared" si="20"/>
        <v>Joseph Gaines</v>
      </c>
      <c r="Z175" s="34" t="str">
        <f t="shared" si="21"/>
        <v>Late</v>
      </c>
      <c r="AA175" s="34" t="str">
        <f t="shared" si="22"/>
        <v>outlook.com</v>
      </c>
    </row>
    <row r="176" spans="1:27" ht="14.25" customHeight="1" x14ac:dyDescent="0.3">
      <c r="A176" t="s">
        <v>671</v>
      </c>
      <c r="B176" t="s">
        <v>672</v>
      </c>
      <c r="C176" t="s">
        <v>673</v>
      </c>
      <c r="D176">
        <v>38</v>
      </c>
      <c r="E176" t="s">
        <v>41</v>
      </c>
      <c r="F176" t="s">
        <v>220</v>
      </c>
      <c r="G176" t="s">
        <v>674</v>
      </c>
      <c r="H176" t="s">
        <v>675</v>
      </c>
      <c r="I176" t="s">
        <v>976</v>
      </c>
      <c r="J176" s="8">
        <v>45318</v>
      </c>
      <c r="K176" t="s">
        <v>977</v>
      </c>
      <c r="L176" t="s">
        <v>270</v>
      </c>
      <c r="M176">
        <v>62.42</v>
      </c>
      <c r="N176">
        <v>4</v>
      </c>
      <c r="O176" t="s">
        <v>85</v>
      </c>
      <c r="P176">
        <v>4</v>
      </c>
      <c r="Q176">
        <v>37</v>
      </c>
      <c r="R176" s="8">
        <v>45321</v>
      </c>
      <c r="S176" t="s">
        <v>978</v>
      </c>
      <c r="T176" s="33">
        <f t="shared" si="16"/>
        <v>3</v>
      </c>
      <c r="U176" s="33">
        <f t="shared" si="17"/>
        <v>249.68</v>
      </c>
      <c r="V176" s="33">
        <f t="shared" si="18"/>
        <v>286.68</v>
      </c>
      <c r="W176" s="36">
        <f t="shared" si="23"/>
        <v>0.2</v>
      </c>
      <c r="X176" s="33">
        <f t="shared" si="19"/>
        <v>229.34400000000002</v>
      </c>
      <c r="Y176" s="33" t="str">
        <f t="shared" si="20"/>
        <v>Christy Chang</v>
      </c>
      <c r="Z176" s="33" t="str">
        <f t="shared" si="21"/>
        <v>BeforeTime</v>
      </c>
      <c r="AA176" s="33" t="str">
        <f t="shared" si="22"/>
        <v>outlook.com</v>
      </c>
    </row>
    <row r="177" spans="1:27" ht="14.25" customHeight="1" x14ac:dyDescent="0.3">
      <c r="A177" t="s">
        <v>724</v>
      </c>
      <c r="B177" t="s">
        <v>725</v>
      </c>
      <c r="C177" t="s">
        <v>167</v>
      </c>
      <c r="D177">
        <v>70</v>
      </c>
      <c r="E177" t="s">
        <v>41</v>
      </c>
      <c r="F177" t="s">
        <v>90</v>
      </c>
      <c r="G177" t="s">
        <v>726</v>
      </c>
      <c r="H177" t="s">
        <v>727</v>
      </c>
      <c r="I177" t="s">
        <v>979</v>
      </c>
      <c r="J177" s="8">
        <v>45508</v>
      </c>
      <c r="K177" t="s">
        <v>980</v>
      </c>
      <c r="L177" t="s">
        <v>495</v>
      </c>
      <c r="M177">
        <v>421.7</v>
      </c>
      <c r="N177">
        <v>4</v>
      </c>
      <c r="O177" t="s">
        <v>36</v>
      </c>
      <c r="P177">
        <v>7</v>
      </c>
      <c r="Q177">
        <v>69</v>
      </c>
      <c r="R177" s="8">
        <v>45514</v>
      </c>
      <c r="S177" t="s">
        <v>981</v>
      </c>
      <c r="T177" s="34">
        <f t="shared" si="16"/>
        <v>6</v>
      </c>
      <c r="U177" s="34">
        <f t="shared" si="17"/>
        <v>1686.8</v>
      </c>
      <c r="V177" s="34">
        <f t="shared" si="18"/>
        <v>1755.8</v>
      </c>
      <c r="W177" s="36">
        <f t="shared" si="23"/>
        <v>0.08</v>
      </c>
      <c r="X177" s="34">
        <f t="shared" si="19"/>
        <v>1615.336</v>
      </c>
      <c r="Y177" s="34" t="str">
        <f t="shared" si="20"/>
        <v>Lisa Miller</v>
      </c>
      <c r="Z177" s="34" t="str">
        <f t="shared" si="21"/>
        <v>BeforeTime</v>
      </c>
      <c r="AA177" s="34" t="str">
        <f t="shared" si="22"/>
        <v>gmail.com</v>
      </c>
    </row>
    <row r="178" spans="1:27" ht="14.25" customHeight="1" x14ac:dyDescent="0.3">
      <c r="A178" t="s">
        <v>137</v>
      </c>
      <c r="B178" t="s">
        <v>138</v>
      </c>
      <c r="C178" t="s">
        <v>139</v>
      </c>
      <c r="D178">
        <v>25</v>
      </c>
      <c r="E178" t="s">
        <v>52</v>
      </c>
      <c r="F178" t="s">
        <v>140</v>
      </c>
      <c r="G178" t="s">
        <v>141</v>
      </c>
      <c r="H178" t="s">
        <v>142</v>
      </c>
      <c r="I178" t="s">
        <v>982</v>
      </c>
      <c r="J178" s="8">
        <v>45580</v>
      </c>
      <c r="K178" t="s">
        <v>983</v>
      </c>
      <c r="L178" t="s">
        <v>984</v>
      </c>
      <c r="M178">
        <v>33.49</v>
      </c>
      <c r="N178">
        <v>1</v>
      </c>
      <c r="O178" t="s">
        <v>63</v>
      </c>
      <c r="P178">
        <v>1</v>
      </c>
      <c r="Q178">
        <v>59</v>
      </c>
      <c r="R178" s="8">
        <v>45585</v>
      </c>
      <c r="S178" t="s">
        <v>985</v>
      </c>
      <c r="T178" s="33">
        <f t="shared" si="16"/>
        <v>5</v>
      </c>
      <c r="U178" s="33">
        <f t="shared" si="17"/>
        <v>33.49</v>
      </c>
      <c r="V178" s="33">
        <f t="shared" si="18"/>
        <v>92.490000000000009</v>
      </c>
      <c r="W178" s="36">
        <f t="shared" si="23"/>
        <v>0</v>
      </c>
      <c r="X178" s="33">
        <f t="shared" si="19"/>
        <v>92.490000000000009</v>
      </c>
      <c r="Y178" s="33" t="str">
        <f t="shared" si="20"/>
        <v>Kara Brennan</v>
      </c>
      <c r="Z178" s="33" t="str">
        <f t="shared" si="21"/>
        <v>Late</v>
      </c>
      <c r="AA178" s="33" t="str">
        <f t="shared" si="22"/>
        <v>outlook.com</v>
      </c>
    </row>
    <row r="179" spans="1:27" ht="14.25" customHeight="1" x14ac:dyDescent="0.3">
      <c r="A179" t="s">
        <v>986</v>
      </c>
      <c r="B179" t="s">
        <v>987</v>
      </c>
      <c r="C179" t="s">
        <v>988</v>
      </c>
      <c r="D179">
        <v>49</v>
      </c>
      <c r="E179" t="s">
        <v>29</v>
      </c>
      <c r="F179" t="s">
        <v>42</v>
      </c>
      <c r="G179" t="s">
        <v>989</v>
      </c>
      <c r="H179" t="s">
        <v>990</v>
      </c>
      <c r="I179" t="s">
        <v>991</v>
      </c>
      <c r="J179" s="8">
        <v>45478</v>
      </c>
      <c r="K179" t="s">
        <v>992</v>
      </c>
      <c r="L179" t="s">
        <v>173</v>
      </c>
      <c r="M179">
        <v>272.51</v>
      </c>
      <c r="N179">
        <v>4</v>
      </c>
      <c r="O179" t="s">
        <v>63</v>
      </c>
      <c r="P179">
        <v>1</v>
      </c>
      <c r="Q179">
        <v>51</v>
      </c>
      <c r="R179" s="8">
        <v>45480</v>
      </c>
      <c r="S179" t="s">
        <v>993</v>
      </c>
      <c r="T179" s="34">
        <f t="shared" si="16"/>
        <v>2</v>
      </c>
      <c r="U179" s="34">
        <f t="shared" si="17"/>
        <v>1090.04</v>
      </c>
      <c r="V179" s="34">
        <f t="shared" si="18"/>
        <v>1141.04</v>
      </c>
      <c r="W179" s="36">
        <f t="shared" si="23"/>
        <v>0</v>
      </c>
      <c r="X179" s="34">
        <f t="shared" si="19"/>
        <v>1141.04</v>
      </c>
      <c r="Y179" s="34" t="str">
        <f t="shared" si="20"/>
        <v>Natasha Michael</v>
      </c>
      <c r="Z179" s="34" t="str">
        <f t="shared" si="21"/>
        <v>Late</v>
      </c>
      <c r="AA179" s="34" t="str">
        <f t="shared" si="22"/>
        <v>gmail.com</v>
      </c>
    </row>
    <row r="180" spans="1:27" ht="14.25" customHeight="1" x14ac:dyDescent="0.3">
      <c r="A180" t="s">
        <v>528</v>
      </c>
      <c r="B180" t="s">
        <v>394</v>
      </c>
      <c r="C180" t="s">
        <v>529</v>
      </c>
      <c r="D180">
        <v>51</v>
      </c>
      <c r="E180" t="s">
        <v>52</v>
      </c>
      <c r="F180" t="s">
        <v>140</v>
      </c>
      <c r="G180" t="s">
        <v>530</v>
      </c>
      <c r="H180" t="s">
        <v>531</v>
      </c>
      <c r="I180" t="s">
        <v>994</v>
      </c>
      <c r="J180" s="8">
        <v>45010</v>
      </c>
      <c r="K180" t="s">
        <v>995</v>
      </c>
      <c r="L180" t="s">
        <v>563</v>
      </c>
      <c r="M180">
        <v>133.62</v>
      </c>
      <c r="N180">
        <v>2</v>
      </c>
      <c r="O180" t="s">
        <v>36</v>
      </c>
      <c r="P180">
        <v>1</v>
      </c>
      <c r="Q180">
        <v>48</v>
      </c>
      <c r="R180" s="8">
        <v>45015</v>
      </c>
      <c r="S180" t="s">
        <v>996</v>
      </c>
      <c r="T180" s="33">
        <f t="shared" si="16"/>
        <v>5</v>
      </c>
      <c r="U180" s="33">
        <f t="shared" si="17"/>
        <v>267.24</v>
      </c>
      <c r="V180" s="33">
        <f t="shared" si="18"/>
        <v>315.24</v>
      </c>
      <c r="W180" s="36">
        <f t="shared" si="23"/>
        <v>0.08</v>
      </c>
      <c r="X180" s="33">
        <f t="shared" si="19"/>
        <v>290.02080000000001</v>
      </c>
      <c r="Y180" s="33" t="str">
        <f t="shared" si="20"/>
        <v>Jason Nguyen</v>
      </c>
      <c r="Z180" s="33" t="str">
        <f t="shared" si="21"/>
        <v>Late</v>
      </c>
      <c r="AA180" s="33" t="str">
        <f t="shared" si="22"/>
        <v>yahoo.com</v>
      </c>
    </row>
    <row r="181" spans="1:27" ht="14.25" customHeight="1" x14ac:dyDescent="0.3">
      <c r="A181" t="s">
        <v>767</v>
      </c>
      <c r="B181" t="s">
        <v>768</v>
      </c>
      <c r="C181" t="s">
        <v>769</v>
      </c>
      <c r="D181">
        <v>27</v>
      </c>
      <c r="E181" t="s">
        <v>29</v>
      </c>
      <c r="F181" t="s">
        <v>42</v>
      </c>
      <c r="G181" t="s">
        <v>770</v>
      </c>
      <c r="H181" t="s">
        <v>771</v>
      </c>
      <c r="I181" t="s">
        <v>997</v>
      </c>
      <c r="J181" s="8">
        <v>45132</v>
      </c>
      <c r="K181" t="s">
        <v>998</v>
      </c>
      <c r="L181" t="s">
        <v>126</v>
      </c>
      <c r="M181">
        <v>257.06</v>
      </c>
      <c r="N181">
        <v>4</v>
      </c>
      <c r="O181" t="s">
        <v>63</v>
      </c>
      <c r="P181">
        <v>5</v>
      </c>
      <c r="Q181">
        <v>52</v>
      </c>
      <c r="R181" s="8">
        <v>45136</v>
      </c>
      <c r="S181" t="s">
        <v>999</v>
      </c>
      <c r="T181" s="34">
        <f t="shared" si="16"/>
        <v>4</v>
      </c>
      <c r="U181" s="34">
        <f t="shared" si="17"/>
        <v>1028.24</v>
      </c>
      <c r="V181" s="34">
        <f t="shared" si="18"/>
        <v>1080.24</v>
      </c>
      <c r="W181" s="36">
        <f t="shared" si="23"/>
        <v>0</v>
      </c>
      <c r="X181" s="34">
        <f t="shared" si="19"/>
        <v>1080.24</v>
      </c>
      <c r="Y181" s="34" t="str">
        <f t="shared" si="20"/>
        <v>Kristina Haynes</v>
      </c>
      <c r="Z181" s="34" t="str">
        <f t="shared" si="21"/>
        <v>BeforeTime</v>
      </c>
      <c r="AA181" s="34" t="str">
        <f t="shared" si="22"/>
        <v>yahoo.com</v>
      </c>
    </row>
    <row r="182" spans="1:27" ht="14.25" customHeight="1" x14ac:dyDescent="0.3">
      <c r="A182" t="s">
        <v>137</v>
      </c>
      <c r="B182" t="s">
        <v>138</v>
      </c>
      <c r="C182" t="s">
        <v>139</v>
      </c>
      <c r="D182">
        <v>25</v>
      </c>
      <c r="E182" t="s">
        <v>52</v>
      </c>
      <c r="F182" t="s">
        <v>140</v>
      </c>
      <c r="G182" t="s">
        <v>141</v>
      </c>
      <c r="H182" t="s">
        <v>142</v>
      </c>
      <c r="I182" t="s">
        <v>1000</v>
      </c>
      <c r="J182" s="8">
        <v>45457</v>
      </c>
      <c r="K182" t="s">
        <v>1001</v>
      </c>
      <c r="L182" t="s">
        <v>774</v>
      </c>
      <c r="M182">
        <v>20</v>
      </c>
      <c r="N182">
        <v>5</v>
      </c>
      <c r="O182" t="s">
        <v>58</v>
      </c>
      <c r="P182">
        <v>6</v>
      </c>
      <c r="Q182">
        <v>36</v>
      </c>
      <c r="R182" s="8">
        <v>45463</v>
      </c>
      <c r="S182" t="s">
        <v>1002</v>
      </c>
      <c r="T182" s="33">
        <f t="shared" si="16"/>
        <v>6</v>
      </c>
      <c r="U182" s="33">
        <f t="shared" si="17"/>
        <v>100</v>
      </c>
      <c r="V182" s="33">
        <f t="shared" si="18"/>
        <v>136</v>
      </c>
      <c r="W182" s="36">
        <f t="shared" si="23"/>
        <v>0.15</v>
      </c>
      <c r="X182" s="33">
        <f t="shared" si="19"/>
        <v>115.6</v>
      </c>
      <c r="Y182" s="33" t="str">
        <f t="shared" si="20"/>
        <v>Kara Brennan</v>
      </c>
      <c r="Z182" s="33" t="str">
        <f t="shared" si="21"/>
        <v>Intime</v>
      </c>
      <c r="AA182" s="33" t="str">
        <f t="shared" si="22"/>
        <v>outlook.com</v>
      </c>
    </row>
    <row r="183" spans="1:27" ht="14.25" customHeight="1" x14ac:dyDescent="0.3">
      <c r="A183" t="s">
        <v>716</v>
      </c>
      <c r="B183" t="s">
        <v>717</v>
      </c>
      <c r="C183" t="s">
        <v>718</v>
      </c>
      <c r="D183">
        <v>32</v>
      </c>
      <c r="E183" t="s">
        <v>41</v>
      </c>
      <c r="F183" t="s">
        <v>30</v>
      </c>
      <c r="G183" t="s">
        <v>719</v>
      </c>
      <c r="H183" t="s">
        <v>720</v>
      </c>
      <c r="I183" t="s">
        <v>1003</v>
      </c>
      <c r="J183" s="8">
        <v>45343</v>
      </c>
      <c r="K183" t="s">
        <v>1004</v>
      </c>
      <c r="L183" t="s">
        <v>657</v>
      </c>
      <c r="M183">
        <v>235.63</v>
      </c>
      <c r="N183">
        <v>3</v>
      </c>
      <c r="O183" t="s">
        <v>96</v>
      </c>
      <c r="P183">
        <v>5</v>
      </c>
      <c r="Q183">
        <v>44</v>
      </c>
      <c r="R183" s="8">
        <v>45347</v>
      </c>
      <c r="S183" t="s">
        <v>1005</v>
      </c>
      <c r="T183" s="34">
        <f t="shared" si="16"/>
        <v>4</v>
      </c>
      <c r="U183" s="34">
        <f t="shared" si="17"/>
        <v>706.89</v>
      </c>
      <c r="V183" s="34">
        <f t="shared" si="18"/>
        <v>750.89</v>
      </c>
      <c r="W183" s="36">
        <f t="shared" si="23"/>
        <v>0.1</v>
      </c>
      <c r="X183" s="34">
        <f t="shared" si="19"/>
        <v>675.80100000000004</v>
      </c>
      <c r="Y183" s="34" t="str">
        <f t="shared" si="20"/>
        <v>Bruce Allen</v>
      </c>
      <c r="Z183" s="34" t="str">
        <f t="shared" si="21"/>
        <v>BeforeTime</v>
      </c>
      <c r="AA183" s="34" t="str">
        <f t="shared" si="22"/>
        <v>rediffmail.com</v>
      </c>
    </row>
    <row r="184" spans="1:27" ht="14.25" customHeight="1" x14ac:dyDescent="0.3">
      <c r="A184" t="s">
        <v>26</v>
      </c>
      <c r="B184" t="s">
        <v>27</v>
      </c>
      <c r="C184" t="s">
        <v>28</v>
      </c>
      <c r="D184">
        <v>37</v>
      </c>
      <c r="E184" t="s">
        <v>29</v>
      </c>
      <c r="F184" t="s">
        <v>30</v>
      </c>
      <c r="G184" t="s">
        <v>31</v>
      </c>
      <c r="H184" t="s">
        <v>32</v>
      </c>
      <c r="I184" t="s">
        <v>1006</v>
      </c>
      <c r="J184" s="8">
        <v>45095</v>
      </c>
      <c r="K184" t="s">
        <v>1007</v>
      </c>
      <c r="L184" t="s">
        <v>563</v>
      </c>
      <c r="M184">
        <v>133.62</v>
      </c>
      <c r="N184">
        <v>5</v>
      </c>
      <c r="O184" t="s">
        <v>63</v>
      </c>
      <c r="P184">
        <v>7</v>
      </c>
      <c r="Q184">
        <v>58</v>
      </c>
      <c r="R184" s="8">
        <v>45098</v>
      </c>
      <c r="S184" t="s">
        <v>1008</v>
      </c>
      <c r="T184" s="33">
        <f t="shared" si="16"/>
        <v>3</v>
      </c>
      <c r="U184" s="33">
        <f t="shared" si="17"/>
        <v>668.1</v>
      </c>
      <c r="V184" s="33">
        <f t="shared" si="18"/>
        <v>726.1</v>
      </c>
      <c r="W184" s="36">
        <f t="shared" si="23"/>
        <v>0</v>
      </c>
      <c r="X184" s="33">
        <f t="shared" si="19"/>
        <v>726.1</v>
      </c>
      <c r="Y184" s="33" t="str">
        <f t="shared" si="20"/>
        <v>Anne Oconnell</v>
      </c>
      <c r="Z184" s="33" t="str">
        <f t="shared" si="21"/>
        <v>BeforeTime</v>
      </c>
      <c r="AA184" s="33" t="str">
        <f t="shared" si="22"/>
        <v>outlook.com</v>
      </c>
    </row>
    <row r="185" spans="1:27" ht="14.25" customHeight="1" x14ac:dyDescent="0.3">
      <c r="A185" t="s">
        <v>490</v>
      </c>
      <c r="B185" t="s">
        <v>186</v>
      </c>
      <c r="C185" t="s">
        <v>327</v>
      </c>
      <c r="D185">
        <v>39</v>
      </c>
      <c r="E185" t="s">
        <v>52</v>
      </c>
      <c r="F185" t="s">
        <v>42</v>
      </c>
      <c r="G185" t="s">
        <v>491</v>
      </c>
      <c r="H185" t="s">
        <v>492</v>
      </c>
      <c r="I185" t="s">
        <v>1009</v>
      </c>
      <c r="J185" s="8">
        <v>45651</v>
      </c>
      <c r="K185" t="s">
        <v>1010</v>
      </c>
      <c r="L185" t="s">
        <v>495</v>
      </c>
      <c r="M185">
        <v>421.7</v>
      </c>
      <c r="N185">
        <v>2</v>
      </c>
      <c r="O185" t="s">
        <v>36</v>
      </c>
      <c r="P185">
        <v>5</v>
      </c>
      <c r="Q185">
        <v>45</v>
      </c>
      <c r="R185" s="8">
        <v>45653</v>
      </c>
      <c r="S185" t="s">
        <v>1011</v>
      </c>
      <c r="T185" s="34">
        <f t="shared" si="16"/>
        <v>2</v>
      </c>
      <c r="U185" s="34">
        <f t="shared" si="17"/>
        <v>843.4</v>
      </c>
      <c r="V185" s="34">
        <f t="shared" si="18"/>
        <v>888.4</v>
      </c>
      <c r="W185" s="36">
        <f t="shared" si="23"/>
        <v>0.08</v>
      </c>
      <c r="X185" s="34">
        <f t="shared" si="19"/>
        <v>817.32799999999997</v>
      </c>
      <c r="Y185" s="34" t="str">
        <f t="shared" si="20"/>
        <v>Mitchell Parker</v>
      </c>
      <c r="Z185" s="34" t="str">
        <f t="shared" si="21"/>
        <v>BeforeTime</v>
      </c>
      <c r="AA185" s="34" t="str">
        <f t="shared" si="22"/>
        <v>yahoo.com</v>
      </c>
    </row>
    <row r="186" spans="1:27" ht="14.25" customHeight="1" x14ac:dyDescent="0.3">
      <c r="A186" t="s">
        <v>184</v>
      </c>
      <c r="B186" t="s">
        <v>185</v>
      </c>
      <c r="C186" t="s">
        <v>186</v>
      </c>
      <c r="D186">
        <v>42</v>
      </c>
      <c r="E186" t="s">
        <v>41</v>
      </c>
      <c r="F186" t="s">
        <v>168</v>
      </c>
      <c r="G186" t="s">
        <v>187</v>
      </c>
      <c r="H186" t="s">
        <v>188</v>
      </c>
      <c r="I186" t="s">
        <v>1012</v>
      </c>
      <c r="J186" s="8">
        <v>45455</v>
      </c>
      <c r="K186" t="s">
        <v>1013</v>
      </c>
      <c r="L186" t="s">
        <v>344</v>
      </c>
      <c r="M186">
        <v>372.62</v>
      </c>
      <c r="N186">
        <v>1</v>
      </c>
      <c r="O186" t="s">
        <v>58</v>
      </c>
      <c r="P186">
        <v>3</v>
      </c>
      <c r="Q186">
        <v>35</v>
      </c>
      <c r="R186" s="8">
        <v>45458</v>
      </c>
      <c r="S186" t="s">
        <v>1014</v>
      </c>
      <c r="T186" s="33">
        <f t="shared" si="16"/>
        <v>3</v>
      </c>
      <c r="U186" s="33">
        <f t="shared" si="17"/>
        <v>372.62</v>
      </c>
      <c r="V186" s="33">
        <f t="shared" si="18"/>
        <v>407.62</v>
      </c>
      <c r="W186" s="36">
        <f t="shared" si="23"/>
        <v>0.15</v>
      </c>
      <c r="X186" s="33">
        <f t="shared" si="19"/>
        <v>346.47699999999998</v>
      </c>
      <c r="Y186" s="33" t="str">
        <f t="shared" si="20"/>
        <v>Mallory Mitchell</v>
      </c>
      <c r="Z186" s="33" t="str">
        <f t="shared" si="21"/>
        <v>Intime</v>
      </c>
      <c r="AA186" s="33" t="str">
        <f t="shared" si="22"/>
        <v>yahoo.com</v>
      </c>
    </row>
    <row r="187" spans="1:27" ht="14.25" customHeight="1" x14ac:dyDescent="0.3">
      <c r="A187" t="s">
        <v>535</v>
      </c>
      <c r="B187" t="s">
        <v>536</v>
      </c>
      <c r="C187" t="s">
        <v>537</v>
      </c>
      <c r="D187">
        <v>32</v>
      </c>
      <c r="E187" t="s">
        <v>52</v>
      </c>
      <c r="F187" t="s">
        <v>90</v>
      </c>
      <c r="G187" t="s">
        <v>538</v>
      </c>
      <c r="H187" t="s">
        <v>539</v>
      </c>
      <c r="I187" t="s">
        <v>1015</v>
      </c>
      <c r="J187" s="8">
        <v>45455</v>
      </c>
      <c r="K187" t="s">
        <v>1016</v>
      </c>
      <c r="L187" t="s">
        <v>95</v>
      </c>
      <c r="M187">
        <v>363.64</v>
      </c>
      <c r="N187">
        <v>3</v>
      </c>
      <c r="O187" t="s">
        <v>63</v>
      </c>
      <c r="P187">
        <v>3</v>
      </c>
      <c r="Q187">
        <v>70</v>
      </c>
      <c r="R187" s="8">
        <v>45461</v>
      </c>
      <c r="S187" t="s">
        <v>1017</v>
      </c>
      <c r="T187" s="34">
        <f t="shared" si="16"/>
        <v>6</v>
      </c>
      <c r="U187" s="34">
        <f t="shared" si="17"/>
        <v>1090.92</v>
      </c>
      <c r="V187" s="34">
        <f t="shared" si="18"/>
        <v>1160.92</v>
      </c>
      <c r="W187" s="36">
        <f t="shared" si="23"/>
        <v>0</v>
      </c>
      <c r="X187" s="34">
        <f t="shared" si="19"/>
        <v>1160.92</v>
      </c>
      <c r="Y187" s="34" t="str">
        <f t="shared" si="20"/>
        <v>Brandon Cruz</v>
      </c>
      <c r="Z187" s="34" t="str">
        <f t="shared" si="21"/>
        <v>Late</v>
      </c>
      <c r="AA187" s="34" t="str">
        <f t="shared" si="22"/>
        <v>gmail.com</v>
      </c>
    </row>
    <row r="188" spans="1:27" ht="14.25" customHeight="1" x14ac:dyDescent="0.3">
      <c r="A188" t="s">
        <v>73</v>
      </c>
      <c r="B188" t="s">
        <v>74</v>
      </c>
      <c r="C188" t="s">
        <v>75</v>
      </c>
      <c r="D188">
        <v>53</v>
      </c>
      <c r="E188" t="s">
        <v>52</v>
      </c>
      <c r="F188" t="s">
        <v>76</v>
      </c>
      <c r="G188" t="s">
        <v>77</v>
      </c>
      <c r="H188" t="s">
        <v>78</v>
      </c>
      <c r="I188" t="s">
        <v>1018</v>
      </c>
      <c r="J188" s="8">
        <v>45561</v>
      </c>
      <c r="K188" t="s">
        <v>1019</v>
      </c>
      <c r="L188" t="s">
        <v>81</v>
      </c>
      <c r="M188">
        <v>330.11</v>
      </c>
      <c r="N188">
        <v>4</v>
      </c>
      <c r="O188" t="s">
        <v>85</v>
      </c>
      <c r="P188">
        <v>4</v>
      </c>
      <c r="Q188">
        <v>47</v>
      </c>
      <c r="R188" s="8">
        <v>45566</v>
      </c>
      <c r="S188" t="s">
        <v>1020</v>
      </c>
      <c r="T188" s="33">
        <f t="shared" si="16"/>
        <v>5</v>
      </c>
      <c r="U188" s="33">
        <f t="shared" si="17"/>
        <v>1320.44</v>
      </c>
      <c r="V188" s="33">
        <f t="shared" si="18"/>
        <v>1367.44</v>
      </c>
      <c r="W188" s="36">
        <f t="shared" si="23"/>
        <v>0.2</v>
      </c>
      <c r="X188" s="33">
        <f t="shared" si="19"/>
        <v>1093.952</v>
      </c>
      <c r="Y188" s="33" t="str">
        <f t="shared" si="20"/>
        <v>Christine West</v>
      </c>
      <c r="Z188" s="33" t="str">
        <f t="shared" si="21"/>
        <v>Late</v>
      </c>
      <c r="AA188" s="33" t="str">
        <f t="shared" si="22"/>
        <v>gmail.com</v>
      </c>
    </row>
    <row r="189" spans="1:27" ht="14.25" customHeight="1" x14ac:dyDescent="0.3">
      <c r="A189" t="s">
        <v>316</v>
      </c>
      <c r="B189" t="s">
        <v>317</v>
      </c>
      <c r="C189" t="s">
        <v>318</v>
      </c>
      <c r="D189">
        <v>45</v>
      </c>
      <c r="E189" t="s">
        <v>29</v>
      </c>
      <c r="F189" t="s">
        <v>42</v>
      </c>
      <c r="G189" t="s">
        <v>319</v>
      </c>
      <c r="H189" t="s">
        <v>320</v>
      </c>
      <c r="I189" t="s">
        <v>1021</v>
      </c>
      <c r="J189" s="8">
        <v>45099</v>
      </c>
      <c r="K189" t="s">
        <v>1022</v>
      </c>
      <c r="L189" t="s">
        <v>941</v>
      </c>
      <c r="M189">
        <v>107.47</v>
      </c>
      <c r="N189">
        <v>1</v>
      </c>
      <c r="O189" t="s">
        <v>96</v>
      </c>
      <c r="P189">
        <v>5</v>
      </c>
      <c r="Q189">
        <v>56</v>
      </c>
      <c r="R189" s="8">
        <v>45104</v>
      </c>
      <c r="S189" t="s">
        <v>1023</v>
      </c>
      <c r="T189" s="34">
        <f t="shared" si="16"/>
        <v>5</v>
      </c>
      <c r="U189" s="34">
        <f t="shared" si="17"/>
        <v>107.47</v>
      </c>
      <c r="V189" s="34">
        <f t="shared" si="18"/>
        <v>163.47</v>
      </c>
      <c r="W189" s="36">
        <f t="shared" si="23"/>
        <v>0.1</v>
      </c>
      <c r="X189" s="34">
        <f t="shared" si="19"/>
        <v>147.12299999999999</v>
      </c>
      <c r="Y189" s="34" t="str">
        <f t="shared" si="20"/>
        <v>Jenny Estrada</v>
      </c>
      <c r="Z189" s="34" t="str">
        <f t="shared" si="21"/>
        <v>Intime</v>
      </c>
      <c r="AA189" s="34" t="str">
        <f t="shared" si="22"/>
        <v>yahoo.com</v>
      </c>
    </row>
    <row r="190" spans="1:27" ht="14.25" customHeight="1" x14ac:dyDescent="0.3">
      <c r="A190" t="s">
        <v>165</v>
      </c>
      <c r="B190" t="s">
        <v>166</v>
      </c>
      <c r="C190" t="s">
        <v>167</v>
      </c>
      <c r="D190">
        <v>46</v>
      </c>
      <c r="E190" t="s">
        <v>29</v>
      </c>
      <c r="F190" t="s">
        <v>168</v>
      </c>
      <c r="G190" t="s">
        <v>169</v>
      </c>
      <c r="H190" t="s">
        <v>170</v>
      </c>
      <c r="I190" t="s">
        <v>1024</v>
      </c>
      <c r="J190" s="8">
        <v>45586</v>
      </c>
      <c r="K190" t="s">
        <v>1025</v>
      </c>
      <c r="L190" t="s">
        <v>242</v>
      </c>
      <c r="M190">
        <v>126.19</v>
      </c>
      <c r="N190">
        <v>1</v>
      </c>
      <c r="O190" t="s">
        <v>85</v>
      </c>
      <c r="P190">
        <v>5</v>
      </c>
      <c r="Q190">
        <v>68</v>
      </c>
      <c r="R190" s="8">
        <v>45588</v>
      </c>
      <c r="S190" t="s">
        <v>1026</v>
      </c>
      <c r="T190" s="33">
        <f t="shared" si="16"/>
        <v>2</v>
      </c>
      <c r="U190" s="33">
        <f t="shared" si="17"/>
        <v>126.19</v>
      </c>
      <c r="V190" s="33">
        <f t="shared" si="18"/>
        <v>194.19</v>
      </c>
      <c r="W190" s="36">
        <f t="shared" si="23"/>
        <v>0.2</v>
      </c>
      <c r="X190" s="33">
        <f t="shared" si="19"/>
        <v>155.352</v>
      </c>
      <c r="Y190" s="33" t="str">
        <f t="shared" si="20"/>
        <v>Erin Miller</v>
      </c>
      <c r="Z190" s="33" t="str">
        <f t="shared" si="21"/>
        <v>BeforeTime</v>
      </c>
      <c r="AA190" s="33" t="str">
        <f t="shared" si="22"/>
        <v>gmail.com</v>
      </c>
    </row>
    <row r="191" spans="1:27" ht="14.25" customHeight="1" x14ac:dyDescent="0.3">
      <c r="A191" t="s">
        <v>646</v>
      </c>
      <c r="B191" t="s">
        <v>647</v>
      </c>
      <c r="C191" t="s">
        <v>648</v>
      </c>
      <c r="D191">
        <v>45</v>
      </c>
      <c r="E191" t="s">
        <v>52</v>
      </c>
      <c r="F191" t="s">
        <v>90</v>
      </c>
      <c r="G191" t="s">
        <v>649</v>
      </c>
      <c r="H191" t="s">
        <v>650</v>
      </c>
      <c r="I191" t="s">
        <v>1027</v>
      </c>
      <c r="J191" s="8">
        <v>45060</v>
      </c>
      <c r="K191" t="s">
        <v>1028</v>
      </c>
      <c r="L191" t="s">
        <v>748</v>
      </c>
      <c r="M191">
        <v>381.73</v>
      </c>
      <c r="N191">
        <v>2</v>
      </c>
      <c r="O191" t="s">
        <v>63</v>
      </c>
      <c r="P191">
        <v>5</v>
      </c>
      <c r="Q191">
        <v>38</v>
      </c>
      <c r="R191" s="8">
        <v>45066</v>
      </c>
      <c r="S191" t="s">
        <v>1029</v>
      </c>
      <c r="T191" s="34">
        <f t="shared" si="16"/>
        <v>6</v>
      </c>
      <c r="U191" s="34">
        <f t="shared" si="17"/>
        <v>763.46</v>
      </c>
      <c r="V191" s="34">
        <f t="shared" si="18"/>
        <v>801.46</v>
      </c>
      <c r="W191" s="36">
        <f t="shared" si="23"/>
        <v>0</v>
      </c>
      <c r="X191" s="34">
        <f t="shared" si="19"/>
        <v>801.46</v>
      </c>
      <c r="Y191" s="34" t="str">
        <f t="shared" si="20"/>
        <v>Beth Mason</v>
      </c>
      <c r="Z191" s="34" t="str">
        <f t="shared" si="21"/>
        <v>Late</v>
      </c>
      <c r="AA191" s="34" t="str">
        <f t="shared" si="22"/>
        <v>outlook.com</v>
      </c>
    </row>
    <row r="192" spans="1:27" ht="14.25" customHeight="1" x14ac:dyDescent="0.3">
      <c r="A192" t="s">
        <v>475</v>
      </c>
      <c r="B192" t="s">
        <v>108</v>
      </c>
      <c r="C192" t="s">
        <v>476</v>
      </c>
      <c r="D192">
        <v>33</v>
      </c>
      <c r="E192" t="s">
        <v>29</v>
      </c>
      <c r="F192" t="s">
        <v>168</v>
      </c>
      <c r="G192" t="s">
        <v>477</v>
      </c>
      <c r="H192" t="s">
        <v>478</v>
      </c>
      <c r="I192" t="s">
        <v>1030</v>
      </c>
      <c r="J192" s="8">
        <v>45069</v>
      </c>
      <c r="K192" t="s">
        <v>1031</v>
      </c>
      <c r="L192" t="s">
        <v>871</v>
      </c>
      <c r="M192">
        <v>292.14999999999998</v>
      </c>
      <c r="N192">
        <v>5</v>
      </c>
      <c r="O192" t="s">
        <v>96</v>
      </c>
      <c r="P192">
        <v>6</v>
      </c>
      <c r="Q192">
        <v>68</v>
      </c>
      <c r="R192" s="8">
        <v>45071</v>
      </c>
      <c r="S192" t="s">
        <v>1032</v>
      </c>
      <c r="T192" s="33">
        <f t="shared" si="16"/>
        <v>2</v>
      </c>
      <c r="U192" s="33">
        <f t="shared" si="17"/>
        <v>1460.75</v>
      </c>
      <c r="V192" s="33">
        <f t="shared" si="18"/>
        <v>1528.75</v>
      </c>
      <c r="W192" s="36">
        <f t="shared" si="23"/>
        <v>0.1</v>
      </c>
      <c r="X192" s="33">
        <f t="shared" si="19"/>
        <v>1375.875</v>
      </c>
      <c r="Y192" s="33" t="str">
        <f t="shared" si="20"/>
        <v>Debra Hayes</v>
      </c>
      <c r="Z192" s="33" t="str">
        <f t="shared" si="21"/>
        <v>BeforeTime</v>
      </c>
      <c r="AA192" s="33" t="str">
        <f t="shared" si="22"/>
        <v>yahoo.com</v>
      </c>
    </row>
    <row r="193" spans="1:27" ht="14.25" customHeight="1" x14ac:dyDescent="0.3">
      <c r="A193" t="s">
        <v>490</v>
      </c>
      <c r="B193" t="s">
        <v>186</v>
      </c>
      <c r="C193" t="s">
        <v>327</v>
      </c>
      <c r="D193">
        <v>39</v>
      </c>
      <c r="E193" t="s">
        <v>52</v>
      </c>
      <c r="F193" t="s">
        <v>42</v>
      </c>
      <c r="G193" t="s">
        <v>491</v>
      </c>
      <c r="H193" t="s">
        <v>492</v>
      </c>
      <c r="I193" t="s">
        <v>1033</v>
      </c>
      <c r="J193" s="8">
        <v>45036</v>
      </c>
      <c r="K193" t="s">
        <v>1034</v>
      </c>
      <c r="L193" t="s">
        <v>514</v>
      </c>
      <c r="M193">
        <v>136.30000000000001</v>
      </c>
      <c r="N193">
        <v>3</v>
      </c>
      <c r="O193" t="s">
        <v>58</v>
      </c>
      <c r="P193">
        <v>6</v>
      </c>
      <c r="Q193">
        <v>42</v>
      </c>
      <c r="R193" s="8">
        <v>45043</v>
      </c>
      <c r="S193" t="s">
        <v>1035</v>
      </c>
      <c r="T193" s="34">
        <f t="shared" si="16"/>
        <v>7</v>
      </c>
      <c r="U193" s="34">
        <f t="shared" si="17"/>
        <v>408.90000000000003</v>
      </c>
      <c r="V193" s="34">
        <f t="shared" si="18"/>
        <v>450.90000000000003</v>
      </c>
      <c r="W193" s="36">
        <f t="shared" si="23"/>
        <v>0.15</v>
      </c>
      <c r="X193" s="34">
        <f t="shared" si="19"/>
        <v>383.26500000000004</v>
      </c>
      <c r="Y193" s="34" t="str">
        <f t="shared" si="20"/>
        <v>Mitchell Parker</v>
      </c>
      <c r="Z193" s="34" t="str">
        <f t="shared" si="21"/>
        <v>Late</v>
      </c>
      <c r="AA193" s="34" t="str">
        <f t="shared" si="22"/>
        <v>yahoo.com</v>
      </c>
    </row>
    <row r="194" spans="1:27" ht="14.25" customHeight="1" x14ac:dyDescent="0.3">
      <c r="A194" t="s">
        <v>639</v>
      </c>
      <c r="B194" t="s">
        <v>148</v>
      </c>
      <c r="C194" t="s">
        <v>640</v>
      </c>
      <c r="D194">
        <v>44</v>
      </c>
      <c r="E194" t="s">
        <v>52</v>
      </c>
      <c r="F194" t="s">
        <v>90</v>
      </c>
      <c r="G194" t="s">
        <v>641</v>
      </c>
      <c r="H194" t="s">
        <v>642</v>
      </c>
      <c r="I194" t="s">
        <v>1036</v>
      </c>
      <c r="J194" s="8">
        <v>45208</v>
      </c>
      <c r="K194" t="s">
        <v>1037</v>
      </c>
      <c r="L194" t="s">
        <v>590</v>
      </c>
      <c r="M194">
        <v>403.03</v>
      </c>
      <c r="N194">
        <v>3</v>
      </c>
      <c r="O194" t="s">
        <v>58</v>
      </c>
      <c r="P194">
        <v>4</v>
      </c>
      <c r="Q194">
        <v>67</v>
      </c>
      <c r="R194" s="8">
        <v>45213</v>
      </c>
      <c r="S194" t="s">
        <v>1038</v>
      </c>
      <c r="T194" s="33">
        <f t="shared" ref="T194:T257" si="24">R194-J194</f>
        <v>5</v>
      </c>
      <c r="U194" s="33">
        <f t="shared" ref="U194:U257" si="25">M194*N194</f>
        <v>1209.0899999999999</v>
      </c>
      <c r="V194" s="33">
        <f t="shared" ref="V194:V257" si="26">U194+Q194</f>
        <v>1276.0899999999999</v>
      </c>
      <c r="W194" s="36">
        <f t="shared" si="23"/>
        <v>0.15</v>
      </c>
      <c r="X194" s="33">
        <f t="shared" ref="X194:X257" si="27">V194*(1-W194)</f>
        <v>1084.6764999999998</v>
      </c>
      <c r="Y194" s="33" t="str">
        <f t="shared" ref="Y194:Y257" si="28">B194&amp;" "&amp;C194</f>
        <v>Amy Ellis</v>
      </c>
      <c r="Z194" s="33" t="str">
        <f t="shared" ref="Z194:Z257" si="29">IF(T194&gt;P194,"Late",IF(T194&lt;P194,"BeforeTime","Intime"))</f>
        <v>Late</v>
      </c>
      <c r="AA194" s="33" t="str">
        <f t="shared" ref="AA194:AA257" si="30">MID(G194,FIND("@",G194)+1,LEN(G194)-FIND("@",G194))</f>
        <v>gmail.com</v>
      </c>
    </row>
    <row r="195" spans="1:27" ht="14.25" customHeight="1" x14ac:dyDescent="0.3">
      <c r="A195" t="s">
        <v>435</v>
      </c>
      <c r="B195" t="s">
        <v>436</v>
      </c>
      <c r="C195" t="s">
        <v>437</v>
      </c>
      <c r="D195">
        <v>28</v>
      </c>
      <c r="E195" t="s">
        <v>52</v>
      </c>
      <c r="F195" t="s">
        <v>76</v>
      </c>
      <c r="G195" t="s">
        <v>438</v>
      </c>
      <c r="H195" t="s">
        <v>439</v>
      </c>
      <c r="I195" t="s">
        <v>1039</v>
      </c>
      <c r="J195" s="8">
        <v>45241</v>
      </c>
      <c r="K195" t="s">
        <v>1040</v>
      </c>
      <c r="L195" t="s">
        <v>637</v>
      </c>
      <c r="M195">
        <v>445.81</v>
      </c>
      <c r="N195">
        <v>2</v>
      </c>
      <c r="O195" t="s">
        <v>63</v>
      </c>
      <c r="P195">
        <v>7</v>
      </c>
      <c r="Q195">
        <v>67</v>
      </c>
      <c r="R195" s="8">
        <v>45242</v>
      </c>
      <c r="S195" t="s">
        <v>1041</v>
      </c>
      <c r="T195" s="34">
        <f t="shared" si="24"/>
        <v>1</v>
      </c>
      <c r="U195" s="34">
        <f t="shared" si="25"/>
        <v>891.62</v>
      </c>
      <c r="V195" s="34">
        <f t="shared" si="26"/>
        <v>958.62</v>
      </c>
      <c r="W195" s="36">
        <f t="shared" ref="W195:W258" si="31">IF(O195="FLAT8",0.08,IF(O195="FLAT10",0.1,IF(O195="FLAT15",0.15,IF(O195="FLAT20",0.2,0))))</f>
        <v>0</v>
      </c>
      <c r="X195" s="34">
        <f t="shared" si="27"/>
        <v>958.62</v>
      </c>
      <c r="Y195" s="34" t="str">
        <f t="shared" si="28"/>
        <v>Mary Knight</v>
      </c>
      <c r="Z195" s="34" t="str">
        <f t="shared" si="29"/>
        <v>BeforeTime</v>
      </c>
      <c r="AA195" s="34" t="str">
        <f t="shared" si="30"/>
        <v>yahoo.com</v>
      </c>
    </row>
    <row r="196" spans="1:27" ht="14.25" customHeight="1" x14ac:dyDescent="0.3">
      <c r="A196" t="s">
        <v>1042</v>
      </c>
      <c r="B196" t="s">
        <v>74</v>
      </c>
      <c r="C196" t="s">
        <v>1043</v>
      </c>
      <c r="D196">
        <v>46</v>
      </c>
      <c r="E196" t="s">
        <v>29</v>
      </c>
      <c r="F196" t="s">
        <v>30</v>
      </c>
      <c r="G196" t="s">
        <v>1044</v>
      </c>
      <c r="H196" t="s">
        <v>1045</v>
      </c>
      <c r="I196" t="s">
        <v>1046</v>
      </c>
      <c r="J196" s="8">
        <v>45051</v>
      </c>
      <c r="K196" t="s">
        <v>1047</v>
      </c>
      <c r="L196" t="s">
        <v>308</v>
      </c>
      <c r="M196">
        <v>129.75</v>
      </c>
      <c r="N196">
        <v>5</v>
      </c>
      <c r="O196" t="s">
        <v>85</v>
      </c>
      <c r="P196">
        <v>6</v>
      </c>
      <c r="Q196">
        <v>38</v>
      </c>
      <c r="R196" s="8">
        <v>45057</v>
      </c>
      <c r="S196" t="s">
        <v>1048</v>
      </c>
      <c r="T196" s="33">
        <f t="shared" si="24"/>
        <v>6</v>
      </c>
      <c r="U196" s="33">
        <f t="shared" si="25"/>
        <v>648.75</v>
      </c>
      <c r="V196" s="33">
        <f t="shared" si="26"/>
        <v>686.75</v>
      </c>
      <c r="W196" s="36">
        <f t="shared" si="31"/>
        <v>0.2</v>
      </c>
      <c r="X196" s="33">
        <f t="shared" si="27"/>
        <v>549.4</v>
      </c>
      <c r="Y196" s="33" t="str">
        <f t="shared" si="28"/>
        <v>Christine Aguilar</v>
      </c>
      <c r="Z196" s="33" t="str">
        <f t="shared" si="29"/>
        <v>Intime</v>
      </c>
      <c r="AA196" s="33" t="str">
        <f t="shared" si="30"/>
        <v>gmail.com</v>
      </c>
    </row>
    <row r="197" spans="1:27" ht="14.25" customHeight="1" x14ac:dyDescent="0.3">
      <c r="A197" t="s">
        <v>507</v>
      </c>
      <c r="B197" t="s">
        <v>508</v>
      </c>
      <c r="C197" t="s">
        <v>509</v>
      </c>
      <c r="D197">
        <v>64</v>
      </c>
      <c r="E197" t="s">
        <v>29</v>
      </c>
      <c r="F197" t="s">
        <v>30</v>
      </c>
      <c r="G197" t="s">
        <v>510</v>
      </c>
      <c r="H197" t="s">
        <v>511</v>
      </c>
      <c r="I197" t="s">
        <v>1049</v>
      </c>
      <c r="J197" s="8">
        <v>45282</v>
      </c>
      <c r="K197" t="s">
        <v>1050</v>
      </c>
      <c r="L197" t="s">
        <v>984</v>
      </c>
      <c r="M197">
        <v>33.49</v>
      </c>
      <c r="N197">
        <v>3</v>
      </c>
      <c r="O197" t="s">
        <v>58</v>
      </c>
      <c r="P197">
        <v>2</v>
      </c>
      <c r="Q197">
        <v>62</v>
      </c>
      <c r="R197" s="8">
        <v>45284</v>
      </c>
      <c r="S197" t="s">
        <v>1051</v>
      </c>
      <c r="T197" s="34">
        <f t="shared" si="24"/>
        <v>2</v>
      </c>
      <c r="U197" s="34">
        <f t="shared" si="25"/>
        <v>100.47</v>
      </c>
      <c r="V197" s="34">
        <f t="shared" si="26"/>
        <v>162.47</v>
      </c>
      <c r="W197" s="36">
        <f t="shared" si="31"/>
        <v>0.15</v>
      </c>
      <c r="X197" s="34">
        <f t="shared" si="27"/>
        <v>138.09950000000001</v>
      </c>
      <c r="Y197" s="34" t="str">
        <f t="shared" si="28"/>
        <v>Sarah Butler</v>
      </c>
      <c r="Z197" s="34" t="str">
        <f t="shared" si="29"/>
        <v>Intime</v>
      </c>
      <c r="AA197" s="34" t="str">
        <f t="shared" si="30"/>
        <v>rediffmail.com</v>
      </c>
    </row>
    <row r="198" spans="1:27" ht="14.25" customHeight="1" x14ac:dyDescent="0.3">
      <c r="A198" t="s">
        <v>535</v>
      </c>
      <c r="B198" t="s">
        <v>536</v>
      </c>
      <c r="C198" t="s">
        <v>537</v>
      </c>
      <c r="D198">
        <v>32</v>
      </c>
      <c r="E198" t="s">
        <v>52</v>
      </c>
      <c r="F198" t="s">
        <v>90</v>
      </c>
      <c r="G198" t="s">
        <v>538</v>
      </c>
      <c r="H198" t="s">
        <v>539</v>
      </c>
      <c r="I198" t="s">
        <v>1052</v>
      </c>
      <c r="J198" s="8">
        <v>45689</v>
      </c>
      <c r="K198" t="s">
        <v>1053</v>
      </c>
      <c r="L198" t="s">
        <v>81</v>
      </c>
      <c r="M198">
        <v>330.11</v>
      </c>
      <c r="N198">
        <v>4</v>
      </c>
      <c r="O198" t="s">
        <v>85</v>
      </c>
      <c r="P198">
        <v>2</v>
      </c>
      <c r="Q198">
        <v>69</v>
      </c>
      <c r="R198" s="8">
        <v>45695</v>
      </c>
      <c r="S198" t="s">
        <v>1054</v>
      </c>
      <c r="T198" s="33">
        <f t="shared" si="24"/>
        <v>6</v>
      </c>
      <c r="U198" s="33">
        <f t="shared" si="25"/>
        <v>1320.44</v>
      </c>
      <c r="V198" s="33">
        <f t="shared" si="26"/>
        <v>1389.44</v>
      </c>
      <c r="W198" s="36">
        <f t="shared" si="31"/>
        <v>0.2</v>
      </c>
      <c r="X198" s="33">
        <f t="shared" si="27"/>
        <v>1111.5520000000001</v>
      </c>
      <c r="Y198" s="33" t="str">
        <f t="shared" si="28"/>
        <v>Brandon Cruz</v>
      </c>
      <c r="Z198" s="33" t="str">
        <f t="shared" si="29"/>
        <v>Late</v>
      </c>
      <c r="AA198" s="33" t="str">
        <f t="shared" si="30"/>
        <v>gmail.com</v>
      </c>
    </row>
    <row r="199" spans="1:27" ht="14.25" customHeight="1" x14ac:dyDescent="0.3">
      <c r="A199" t="s">
        <v>401</v>
      </c>
      <c r="B199" t="s">
        <v>402</v>
      </c>
      <c r="C199" t="s">
        <v>403</v>
      </c>
      <c r="D199">
        <v>70</v>
      </c>
      <c r="E199" t="s">
        <v>29</v>
      </c>
      <c r="F199" t="s">
        <v>30</v>
      </c>
      <c r="G199" t="s">
        <v>404</v>
      </c>
      <c r="H199" t="s">
        <v>405</v>
      </c>
      <c r="I199" t="s">
        <v>1055</v>
      </c>
      <c r="J199" s="8">
        <v>45045</v>
      </c>
      <c r="K199" t="s">
        <v>1056</v>
      </c>
      <c r="L199" t="s">
        <v>57</v>
      </c>
      <c r="M199">
        <v>202.54</v>
      </c>
      <c r="N199">
        <v>5</v>
      </c>
      <c r="O199" t="s">
        <v>58</v>
      </c>
      <c r="P199">
        <v>1</v>
      </c>
      <c r="Q199">
        <v>47</v>
      </c>
      <c r="R199" s="8">
        <v>45051</v>
      </c>
      <c r="S199" t="s">
        <v>1057</v>
      </c>
      <c r="T199" s="34">
        <f t="shared" si="24"/>
        <v>6</v>
      </c>
      <c r="U199" s="34">
        <f t="shared" si="25"/>
        <v>1012.6999999999999</v>
      </c>
      <c r="V199" s="34">
        <f t="shared" si="26"/>
        <v>1059.6999999999998</v>
      </c>
      <c r="W199" s="36">
        <f t="shared" si="31"/>
        <v>0.15</v>
      </c>
      <c r="X199" s="34">
        <f t="shared" si="27"/>
        <v>900.74499999999978</v>
      </c>
      <c r="Y199" s="34" t="str">
        <f t="shared" si="28"/>
        <v>Alexandra Smith</v>
      </c>
      <c r="Z199" s="34" t="str">
        <f t="shared" si="29"/>
        <v>Late</v>
      </c>
      <c r="AA199" s="34" t="str">
        <f t="shared" si="30"/>
        <v>rediffmail.com</v>
      </c>
    </row>
    <row r="200" spans="1:27" ht="14.25" customHeight="1" x14ac:dyDescent="0.3">
      <c r="A200" t="s">
        <v>575</v>
      </c>
      <c r="B200" t="s">
        <v>256</v>
      </c>
      <c r="C200" t="s">
        <v>576</v>
      </c>
      <c r="D200">
        <v>35</v>
      </c>
      <c r="E200" t="s">
        <v>29</v>
      </c>
      <c r="F200" t="s">
        <v>30</v>
      </c>
      <c r="G200" t="s">
        <v>577</v>
      </c>
      <c r="H200" t="s">
        <v>578</v>
      </c>
      <c r="I200" t="s">
        <v>1058</v>
      </c>
      <c r="J200" s="8">
        <v>45253</v>
      </c>
      <c r="K200" t="s">
        <v>1059</v>
      </c>
      <c r="L200" t="s">
        <v>47</v>
      </c>
      <c r="M200">
        <v>166.28</v>
      </c>
      <c r="N200">
        <v>4</v>
      </c>
      <c r="O200" t="s">
        <v>96</v>
      </c>
      <c r="P200">
        <v>4</v>
      </c>
      <c r="Q200">
        <v>44</v>
      </c>
      <c r="R200" s="8">
        <v>45257</v>
      </c>
      <c r="S200" t="s">
        <v>1060</v>
      </c>
      <c r="T200" s="33">
        <f t="shared" si="24"/>
        <v>4</v>
      </c>
      <c r="U200" s="33">
        <f t="shared" si="25"/>
        <v>665.12</v>
      </c>
      <c r="V200" s="33">
        <f t="shared" si="26"/>
        <v>709.12</v>
      </c>
      <c r="W200" s="36">
        <f t="shared" si="31"/>
        <v>0.1</v>
      </c>
      <c r="X200" s="33">
        <f t="shared" si="27"/>
        <v>638.20799999999997</v>
      </c>
      <c r="Y200" s="33" t="str">
        <f t="shared" si="28"/>
        <v>Ashley Romero</v>
      </c>
      <c r="Z200" s="33" t="str">
        <f t="shared" si="29"/>
        <v>Intime</v>
      </c>
      <c r="AA200" s="33" t="str">
        <f t="shared" si="30"/>
        <v>yahoo.com</v>
      </c>
    </row>
    <row r="201" spans="1:27" ht="14.25" customHeight="1" x14ac:dyDescent="0.3">
      <c r="A201" t="s">
        <v>435</v>
      </c>
      <c r="B201" t="s">
        <v>436</v>
      </c>
      <c r="C201" t="s">
        <v>437</v>
      </c>
      <c r="D201">
        <v>28</v>
      </c>
      <c r="E201" t="s">
        <v>52</v>
      </c>
      <c r="F201" t="s">
        <v>76</v>
      </c>
      <c r="G201" t="s">
        <v>438</v>
      </c>
      <c r="H201" t="s">
        <v>439</v>
      </c>
      <c r="I201" t="s">
        <v>1061</v>
      </c>
      <c r="J201" s="8">
        <v>45523</v>
      </c>
      <c r="K201" t="s">
        <v>1062</v>
      </c>
      <c r="L201" t="s">
        <v>871</v>
      </c>
      <c r="M201">
        <v>292.14999999999998</v>
      </c>
      <c r="N201">
        <v>2</v>
      </c>
      <c r="O201" t="s">
        <v>58</v>
      </c>
      <c r="P201">
        <v>4</v>
      </c>
      <c r="Q201">
        <v>58</v>
      </c>
      <c r="R201" s="8">
        <v>45526</v>
      </c>
      <c r="S201" t="s">
        <v>1063</v>
      </c>
      <c r="T201" s="34">
        <f t="shared" si="24"/>
        <v>3</v>
      </c>
      <c r="U201" s="34">
        <f t="shared" si="25"/>
        <v>584.29999999999995</v>
      </c>
      <c r="V201" s="34">
        <f t="shared" si="26"/>
        <v>642.29999999999995</v>
      </c>
      <c r="W201" s="36">
        <f t="shared" si="31"/>
        <v>0.15</v>
      </c>
      <c r="X201" s="34">
        <f t="shared" si="27"/>
        <v>545.95499999999993</v>
      </c>
      <c r="Y201" s="34" t="str">
        <f t="shared" si="28"/>
        <v>Mary Knight</v>
      </c>
      <c r="Z201" s="34" t="str">
        <f t="shared" si="29"/>
        <v>BeforeTime</v>
      </c>
      <c r="AA201" s="34" t="str">
        <f t="shared" si="30"/>
        <v>yahoo.com</v>
      </c>
    </row>
    <row r="202" spans="1:27" ht="14.25" customHeight="1" x14ac:dyDescent="0.3">
      <c r="A202" t="s">
        <v>1042</v>
      </c>
      <c r="B202" t="s">
        <v>74</v>
      </c>
      <c r="C202" t="s">
        <v>1043</v>
      </c>
      <c r="D202">
        <v>46</v>
      </c>
      <c r="E202" t="s">
        <v>29</v>
      </c>
      <c r="F202" t="s">
        <v>30</v>
      </c>
      <c r="G202" t="s">
        <v>1044</v>
      </c>
      <c r="H202" t="s">
        <v>1045</v>
      </c>
      <c r="I202" t="s">
        <v>1064</v>
      </c>
      <c r="J202" s="8">
        <v>45481</v>
      </c>
      <c r="K202" t="s">
        <v>1065</v>
      </c>
      <c r="L202" t="s">
        <v>173</v>
      </c>
      <c r="M202">
        <v>272.51</v>
      </c>
      <c r="N202">
        <v>4</v>
      </c>
      <c r="O202" t="s">
        <v>63</v>
      </c>
      <c r="P202">
        <v>7</v>
      </c>
      <c r="Q202">
        <v>38</v>
      </c>
      <c r="R202" s="8">
        <v>45482</v>
      </c>
      <c r="S202" t="s">
        <v>1066</v>
      </c>
      <c r="T202" s="33">
        <f t="shared" si="24"/>
        <v>1</v>
      </c>
      <c r="U202" s="33">
        <f t="shared" si="25"/>
        <v>1090.04</v>
      </c>
      <c r="V202" s="33">
        <f t="shared" si="26"/>
        <v>1128.04</v>
      </c>
      <c r="W202" s="36">
        <f t="shared" si="31"/>
        <v>0</v>
      </c>
      <c r="X202" s="33">
        <f t="shared" si="27"/>
        <v>1128.04</v>
      </c>
      <c r="Y202" s="33" t="str">
        <f t="shared" si="28"/>
        <v>Christine Aguilar</v>
      </c>
      <c r="Z202" s="33" t="str">
        <f t="shared" si="29"/>
        <v>BeforeTime</v>
      </c>
      <c r="AA202" s="33" t="str">
        <f t="shared" si="30"/>
        <v>gmail.com</v>
      </c>
    </row>
    <row r="203" spans="1:27" ht="14.25" customHeight="1" x14ac:dyDescent="0.3">
      <c r="A203" t="s">
        <v>316</v>
      </c>
      <c r="B203" t="s">
        <v>317</v>
      </c>
      <c r="C203" t="s">
        <v>318</v>
      </c>
      <c r="D203">
        <v>45</v>
      </c>
      <c r="E203" t="s">
        <v>29</v>
      </c>
      <c r="F203" t="s">
        <v>42</v>
      </c>
      <c r="G203" t="s">
        <v>319</v>
      </c>
      <c r="H203" t="s">
        <v>320</v>
      </c>
      <c r="I203" t="s">
        <v>1067</v>
      </c>
      <c r="J203" s="8">
        <v>45079</v>
      </c>
      <c r="K203" t="s">
        <v>1068</v>
      </c>
      <c r="L203" t="s">
        <v>287</v>
      </c>
      <c r="M203">
        <v>157.63999999999999</v>
      </c>
      <c r="N203">
        <v>3</v>
      </c>
      <c r="O203" t="s">
        <v>85</v>
      </c>
      <c r="P203">
        <v>2</v>
      </c>
      <c r="Q203">
        <v>47</v>
      </c>
      <c r="R203" s="8">
        <v>45085</v>
      </c>
      <c r="S203" t="s">
        <v>1069</v>
      </c>
      <c r="T203" s="34">
        <f t="shared" si="24"/>
        <v>6</v>
      </c>
      <c r="U203" s="34">
        <f t="shared" si="25"/>
        <v>472.91999999999996</v>
      </c>
      <c r="V203" s="34">
        <f t="shared" si="26"/>
        <v>519.91999999999996</v>
      </c>
      <c r="W203" s="36">
        <f t="shared" si="31"/>
        <v>0.2</v>
      </c>
      <c r="X203" s="34">
        <f t="shared" si="27"/>
        <v>415.93599999999998</v>
      </c>
      <c r="Y203" s="34" t="str">
        <f t="shared" si="28"/>
        <v>Jenny Estrada</v>
      </c>
      <c r="Z203" s="34" t="str">
        <f t="shared" si="29"/>
        <v>Late</v>
      </c>
      <c r="AA203" s="34" t="str">
        <f t="shared" si="30"/>
        <v>yahoo.com</v>
      </c>
    </row>
    <row r="204" spans="1:27" ht="14.25" customHeight="1" x14ac:dyDescent="0.3">
      <c r="A204" t="s">
        <v>301</v>
      </c>
      <c r="B204" t="s">
        <v>302</v>
      </c>
      <c r="C204" t="s">
        <v>303</v>
      </c>
      <c r="D204">
        <v>26</v>
      </c>
      <c r="E204" t="s">
        <v>52</v>
      </c>
      <c r="F204" t="s">
        <v>168</v>
      </c>
      <c r="G204" t="s">
        <v>304</v>
      </c>
      <c r="H204" t="s">
        <v>305</v>
      </c>
      <c r="I204" t="s">
        <v>1070</v>
      </c>
      <c r="J204" s="8">
        <v>45053</v>
      </c>
      <c r="K204" t="s">
        <v>1071</v>
      </c>
      <c r="L204" t="s">
        <v>270</v>
      </c>
      <c r="M204">
        <v>62.42</v>
      </c>
      <c r="N204">
        <v>3</v>
      </c>
      <c r="O204" t="s">
        <v>58</v>
      </c>
      <c r="P204">
        <v>5</v>
      </c>
      <c r="Q204">
        <v>62</v>
      </c>
      <c r="R204" s="8">
        <v>45058</v>
      </c>
      <c r="S204" t="s">
        <v>1072</v>
      </c>
      <c r="T204" s="33">
        <f t="shared" si="24"/>
        <v>5</v>
      </c>
      <c r="U204" s="33">
        <f t="shared" si="25"/>
        <v>187.26</v>
      </c>
      <c r="V204" s="33">
        <f t="shared" si="26"/>
        <v>249.26</v>
      </c>
      <c r="W204" s="36">
        <f t="shared" si="31"/>
        <v>0.15</v>
      </c>
      <c r="X204" s="33">
        <f t="shared" si="27"/>
        <v>211.87099999999998</v>
      </c>
      <c r="Y204" s="33" t="str">
        <f t="shared" si="28"/>
        <v>Valerie Carr</v>
      </c>
      <c r="Z204" s="33" t="str">
        <f t="shared" si="29"/>
        <v>Intime</v>
      </c>
      <c r="AA204" s="33" t="str">
        <f t="shared" si="30"/>
        <v>rediffmail.com</v>
      </c>
    </row>
    <row r="205" spans="1:27" ht="14.25" customHeight="1" x14ac:dyDescent="0.3">
      <c r="A205" t="s">
        <v>520</v>
      </c>
      <c r="B205" t="s">
        <v>521</v>
      </c>
      <c r="C205" t="s">
        <v>522</v>
      </c>
      <c r="D205">
        <v>42</v>
      </c>
      <c r="E205" t="s">
        <v>52</v>
      </c>
      <c r="F205" t="s">
        <v>76</v>
      </c>
      <c r="G205" t="s">
        <v>523</v>
      </c>
      <c r="H205" t="s">
        <v>524</v>
      </c>
      <c r="I205" t="s">
        <v>1073</v>
      </c>
      <c r="J205" s="8">
        <v>45495</v>
      </c>
      <c r="K205" t="s">
        <v>1074</v>
      </c>
      <c r="L205" t="s">
        <v>95</v>
      </c>
      <c r="M205">
        <v>363.64</v>
      </c>
      <c r="N205">
        <v>3</v>
      </c>
      <c r="O205" t="s">
        <v>36</v>
      </c>
      <c r="P205">
        <v>5</v>
      </c>
      <c r="Q205">
        <v>53</v>
      </c>
      <c r="R205" s="8">
        <v>45502</v>
      </c>
      <c r="S205" t="s">
        <v>1075</v>
      </c>
      <c r="T205" s="34">
        <f t="shared" si="24"/>
        <v>7</v>
      </c>
      <c r="U205" s="34">
        <f t="shared" si="25"/>
        <v>1090.92</v>
      </c>
      <c r="V205" s="34">
        <f t="shared" si="26"/>
        <v>1143.92</v>
      </c>
      <c r="W205" s="36">
        <f t="shared" si="31"/>
        <v>0.08</v>
      </c>
      <c r="X205" s="34">
        <f t="shared" si="27"/>
        <v>1052.4064000000001</v>
      </c>
      <c r="Y205" s="34" t="str">
        <f t="shared" si="28"/>
        <v>Katherine Weber</v>
      </c>
      <c r="Z205" s="34" t="str">
        <f t="shared" si="29"/>
        <v>Late</v>
      </c>
      <c r="AA205" s="34" t="str">
        <f t="shared" si="30"/>
        <v>outlook.com</v>
      </c>
    </row>
    <row r="206" spans="1:27" ht="14.25" customHeight="1" x14ac:dyDescent="0.3">
      <c r="A206" t="s">
        <v>546</v>
      </c>
      <c r="B206" t="s">
        <v>547</v>
      </c>
      <c r="C206" t="s">
        <v>548</v>
      </c>
      <c r="D206">
        <v>33</v>
      </c>
      <c r="E206" t="s">
        <v>52</v>
      </c>
      <c r="F206" t="s">
        <v>168</v>
      </c>
      <c r="G206" t="s">
        <v>549</v>
      </c>
      <c r="H206" t="s">
        <v>550</v>
      </c>
      <c r="I206" t="s">
        <v>1076</v>
      </c>
      <c r="J206" s="8">
        <v>45125</v>
      </c>
      <c r="K206" t="s">
        <v>1077</v>
      </c>
      <c r="L206" t="s">
        <v>573</v>
      </c>
      <c r="M206">
        <v>477.52</v>
      </c>
      <c r="N206">
        <v>4</v>
      </c>
      <c r="O206" t="s">
        <v>85</v>
      </c>
      <c r="P206">
        <v>5</v>
      </c>
      <c r="Q206">
        <v>55</v>
      </c>
      <c r="R206" s="8">
        <v>45127</v>
      </c>
      <c r="S206" t="s">
        <v>1078</v>
      </c>
      <c r="T206" s="33">
        <f t="shared" si="24"/>
        <v>2</v>
      </c>
      <c r="U206" s="33">
        <f t="shared" si="25"/>
        <v>1910.08</v>
      </c>
      <c r="V206" s="33">
        <f t="shared" si="26"/>
        <v>1965.08</v>
      </c>
      <c r="W206" s="36">
        <f t="shared" si="31"/>
        <v>0.2</v>
      </c>
      <c r="X206" s="33">
        <f t="shared" si="27"/>
        <v>1572.0640000000001</v>
      </c>
      <c r="Y206" s="33" t="str">
        <f t="shared" si="28"/>
        <v>Jodi Whitney</v>
      </c>
      <c r="Z206" s="33" t="str">
        <f t="shared" si="29"/>
        <v>BeforeTime</v>
      </c>
      <c r="AA206" s="33" t="str">
        <f t="shared" si="30"/>
        <v>yahoo.com</v>
      </c>
    </row>
    <row r="207" spans="1:27" ht="14.25" customHeight="1" x14ac:dyDescent="0.3">
      <c r="A207" t="s">
        <v>1079</v>
      </c>
      <c r="B207" t="s">
        <v>218</v>
      </c>
      <c r="C207" t="s">
        <v>1080</v>
      </c>
      <c r="D207">
        <v>55</v>
      </c>
      <c r="E207" t="s">
        <v>41</v>
      </c>
      <c r="F207" t="s">
        <v>159</v>
      </c>
      <c r="G207" t="s">
        <v>1081</v>
      </c>
      <c r="H207" t="s">
        <v>1082</v>
      </c>
      <c r="I207" t="s">
        <v>1083</v>
      </c>
      <c r="J207" s="8">
        <v>45168</v>
      </c>
      <c r="K207" t="s">
        <v>1084</v>
      </c>
      <c r="L207" t="s">
        <v>242</v>
      </c>
      <c r="M207">
        <v>126.19</v>
      </c>
      <c r="N207">
        <v>2</v>
      </c>
      <c r="O207" t="s">
        <v>63</v>
      </c>
      <c r="P207">
        <v>5</v>
      </c>
      <c r="Q207">
        <v>59</v>
      </c>
      <c r="R207" s="8">
        <v>45174</v>
      </c>
      <c r="S207" t="s">
        <v>1085</v>
      </c>
      <c r="T207" s="34">
        <f t="shared" si="24"/>
        <v>6</v>
      </c>
      <c r="U207" s="34">
        <f t="shared" si="25"/>
        <v>252.38</v>
      </c>
      <c r="V207" s="34">
        <f t="shared" si="26"/>
        <v>311.38</v>
      </c>
      <c r="W207" s="36">
        <f t="shared" si="31"/>
        <v>0</v>
      </c>
      <c r="X207" s="34">
        <f t="shared" si="27"/>
        <v>311.38</v>
      </c>
      <c r="Y207" s="34" t="str">
        <f t="shared" si="28"/>
        <v>Mark Summers</v>
      </c>
      <c r="Z207" s="34" t="str">
        <f t="shared" si="29"/>
        <v>Late</v>
      </c>
      <c r="AA207" s="34" t="str">
        <f t="shared" si="30"/>
        <v>outlook.com</v>
      </c>
    </row>
    <row r="208" spans="1:27" ht="14.25" customHeight="1" x14ac:dyDescent="0.3">
      <c r="A208" t="s">
        <v>731</v>
      </c>
      <c r="B208" t="s">
        <v>732</v>
      </c>
      <c r="C208" t="s">
        <v>733</v>
      </c>
      <c r="D208">
        <v>30</v>
      </c>
      <c r="E208" t="s">
        <v>29</v>
      </c>
      <c r="F208" t="s">
        <v>159</v>
      </c>
      <c r="G208" t="s">
        <v>734</v>
      </c>
      <c r="H208" t="s">
        <v>735</v>
      </c>
      <c r="I208" t="s">
        <v>1086</v>
      </c>
      <c r="J208" s="8">
        <v>45320</v>
      </c>
      <c r="K208" t="s">
        <v>1087</v>
      </c>
      <c r="L208" t="s">
        <v>481</v>
      </c>
      <c r="M208">
        <v>87.09</v>
      </c>
      <c r="N208">
        <v>1</v>
      </c>
      <c r="O208" t="s">
        <v>96</v>
      </c>
      <c r="P208">
        <v>1</v>
      </c>
      <c r="Q208">
        <v>61</v>
      </c>
      <c r="R208" s="8">
        <v>45321</v>
      </c>
      <c r="S208" t="s">
        <v>1088</v>
      </c>
      <c r="T208" s="33">
        <f t="shared" si="24"/>
        <v>1</v>
      </c>
      <c r="U208" s="33">
        <f t="shared" si="25"/>
        <v>87.09</v>
      </c>
      <c r="V208" s="33">
        <f t="shared" si="26"/>
        <v>148.09</v>
      </c>
      <c r="W208" s="36">
        <f t="shared" si="31"/>
        <v>0.1</v>
      </c>
      <c r="X208" s="33">
        <f t="shared" si="27"/>
        <v>133.28100000000001</v>
      </c>
      <c r="Y208" s="33" t="str">
        <f t="shared" si="28"/>
        <v>Melissa Levy</v>
      </c>
      <c r="Z208" s="33" t="str">
        <f t="shared" si="29"/>
        <v>Intime</v>
      </c>
      <c r="AA208" s="33" t="str">
        <f t="shared" si="30"/>
        <v>rediffmail.com</v>
      </c>
    </row>
    <row r="209" spans="1:27" ht="14.25" customHeight="1" x14ac:dyDescent="0.3">
      <c r="A209" t="s">
        <v>393</v>
      </c>
      <c r="B209" t="s">
        <v>394</v>
      </c>
      <c r="C209" t="s">
        <v>395</v>
      </c>
      <c r="D209">
        <v>40</v>
      </c>
      <c r="E209" t="s">
        <v>52</v>
      </c>
      <c r="F209" t="s">
        <v>168</v>
      </c>
      <c r="G209" t="s">
        <v>396</v>
      </c>
      <c r="H209" t="s">
        <v>397</v>
      </c>
      <c r="I209" t="s">
        <v>1089</v>
      </c>
      <c r="J209" s="8">
        <v>45074</v>
      </c>
      <c r="K209" t="s">
        <v>1090</v>
      </c>
      <c r="L209" t="s">
        <v>738</v>
      </c>
      <c r="M209">
        <v>110.95</v>
      </c>
      <c r="N209">
        <v>3</v>
      </c>
      <c r="O209" t="s">
        <v>96</v>
      </c>
      <c r="P209">
        <v>6</v>
      </c>
      <c r="Q209">
        <v>65</v>
      </c>
      <c r="R209" s="8">
        <v>45079</v>
      </c>
      <c r="S209" t="s">
        <v>1091</v>
      </c>
      <c r="T209" s="34">
        <f t="shared" si="24"/>
        <v>5</v>
      </c>
      <c r="U209" s="34">
        <f t="shared" si="25"/>
        <v>332.85</v>
      </c>
      <c r="V209" s="34">
        <f t="shared" si="26"/>
        <v>397.85</v>
      </c>
      <c r="W209" s="36">
        <f t="shared" si="31"/>
        <v>0.1</v>
      </c>
      <c r="X209" s="34">
        <f t="shared" si="27"/>
        <v>358.06500000000005</v>
      </c>
      <c r="Y209" s="34" t="str">
        <f t="shared" si="28"/>
        <v>Jason Lopez</v>
      </c>
      <c r="Z209" s="34" t="str">
        <f t="shared" si="29"/>
        <v>BeforeTime</v>
      </c>
      <c r="AA209" s="34" t="str">
        <f t="shared" si="30"/>
        <v>outlook.com</v>
      </c>
    </row>
    <row r="210" spans="1:27" ht="14.25" customHeight="1" x14ac:dyDescent="0.3">
      <c r="A210" t="s">
        <v>639</v>
      </c>
      <c r="B210" t="s">
        <v>148</v>
      </c>
      <c r="C210" t="s">
        <v>640</v>
      </c>
      <c r="D210">
        <v>44</v>
      </c>
      <c r="E210" t="s">
        <v>52</v>
      </c>
      <c r="F210" t="s">
        <v>90</v>
      </c>
      <c r="G210" t="s">
        <v>641</v>
      </c>
      <c r="H210" t="s">
        <v>642</v>
      </c>
      <c r="I210" t="s">
        <v>1092</v>
      </c>
      <c r="J210" s="8">
        <v>45285</v>
      </c>
      <c r="K210" t="s">
        <v>1093</v>
      </c>
      <c r="L210" t="s">
        <v>984</v>
      </c>
      <c r="M210">
        <v>33.49</v>
      </c>
      <c r="N210">
        <v>1</v>
      </c>
      <c r="O210" t="s">
        <v>36</v>
      </c>
      <c r="P210">
        <v>2</v>
      </c>
      <c r="Q210">
        <v>67</v>
      </c>
      <c r="R210" s="8">
        <v>45286</v>
      </c>
      <c r="S210" t="s">
        <v>1094</v>
      </c>
      <c r="T210" s="33">
        <f t="shared" si="24"/>
        <v>1</v>
      </c>
      <c r="U210" s="33">
        <f t="shared" si="25"/>
        <v>33.49</v>
      </c>
      <c r="V210" s="33">
        <f t="shared" si="26"/>
        <v>100.49000000000001</v>
      </c>
      <c r="W210" s="36">
        <f t="shared" si="31"/>
        <v>0.08</v>
      </c>
      <c r="X210" s="33">
        <f t="shared" si="27"/>
        <v>92.450800000000015</v>
      </c>
      <c r="Y210" s="33" t="str">
        <f t="shared" si="28"/>
        <v>Amy Ellis</v>
      </c>
      <c r="Z210" s="33" t="str">
        <f t="shared" si="29"/>
        <v>BeforeTime</v>
      </c>
      <c r="AA210" s="33" t="str">
        <f t="shared" si="30"/>
        <v>gmail.com</v>
      </c>
    </row>
    <row r="211" spans="1:27" ht="14.25" customHeight="1" x14ac:dyDescent="0.3">
      <c r="A211" t="s">
        <v>420</v>
      </c>
      <c r="B211" t="s">
        <v>421</v>
      </c>
      <c r="C211" t="s">
        <v>422</v>
      </c>
      <c r="D211">
        <v>52</v>
      </c>
      <c r="E211" t="s">
        <v>52</v>
      </c>
      <c r="F211" t="s">
        <v>220</v>
      </c>
      <c r="G211" t="s">
        <v>423</v>
      </c>
      <c r="H211" t="s">
        <v>424</v>
      </c>
      <c r="I211" t="s">
        <v>1095</v>
      </c>
      <c r="J211" s="8">
        <v>45001</v>
      </c>
      <c r="K211" t="s">
        <v>1096</v>
      </c>
      <c r="L211" t="s">
        <v>553</v>
      </c>
      <c r="M211">
        <v>425.59</v>
      </c>
      <c r="N211">
        <v>3</v>
      </c>
      <c r="O211" t="s">
        <v>36</v>
      </c>
      <c r="P211">
        <v>7</v>
      </c>
      <c r="Q211">
        <v>68</v>
      </c>
      <c r="R211" s="8">
        <v>45005</v>
      </c>
      <c r="S211" t="s">
        <v>809</v>
      </c>
      <c r="T211" s="34">
        <f t="shared" si="24"/>
        <v>4</v>
      </c>
      <c r="U211" s="34">
        <f t="shared" si="25"/>
        <v>1276.77</v>
      </c>
      <c r="V211" s="34">
        <f t="shared" si="26"/>
        <v>1344.77</v>
      </c>
      <c r="W211" s="36">
        <f t="shared" si="31"/>
        <v>0.08</v>
      </c>
      <c r="X211" s="34">
        <f t="shared" si="27"/>
        <v>1237.1884</v>
      </c>
      <c r="Y211" s="34" t="str">
        <f t="shared" si="28"/>
        <v>Amanda Howard</v>
      </c>
      <c r="Z211" s="34" t="str">
        <f t="shared" si="29"/>
        <v>BeforeTime</v>
      </c>
      <c r="AA211" s="34" t="str">
        <f t="shared" si="30"/>
        <v>outlook.com</v>
      </c>
    </row>
    <row r="212" spans="1:27" ht="14.25" customHeight="1" x14ac:dyDescent="0.3">
      <c r="A212" t="s">
        <v>1079</v>
      </c>
      <c r="B212" t="s">
        <v>218</v>
      </c>
      <c r="C212" t="s">
        <v>1080</v>
      </c>
      <c r="D212">
        <v>55</v>
      </c>
      <c r="E212" t="s">
        <v>41</v>
      </c>
      <c r="F212" t="s">
        <v>159</v>
      </c>
      <c r="G212" t="s">
        <v>1081</v>
      </c>
      <c r="H212" t="s">
        <v>1082</v>
      </c>
      <c r="I212" t="s">
        <v>1097</v>
      </c>
      <c r="J212" s="8">
        <v>45039</v>
      </c>
      <c r="K212" t="s">
        <v>1098</v>
      </c>
      <c r="L212" t="s">
        <v>518</v>
      </c>
      <c r="M212">
        <v>441.03</v>
      </c>
      <c r="N212">
        <v>5</v>
      </c>
      <c r="O212" t="s">
        <v>58</v>
      </c>
      <c r="P212">
        <v>3</v>
      </c>
      <c r="Q212">
        <v>37</v>
      </c>
      <c r="R212" s="8">
        <v>45044</v>
      </c>
      <c r="S212" t="s">
        <v>1099</v>
      </c>
      <c r="T212" s="33">
        <f t="shared" si="24"/>
        <v>5</v>
      </c>
      <c r="U212" s="33">
        <f t="shared" si="25"/>
        <v>2205.1499999999996</v>
      </c>
      <c r="V212" s="33">
        <f t="shared" si="26"/>
        <v>2242.1499999999996</v>
      </c>
      <c r="W212" s="36">
        <f t="shared" si="31"/>
        <v>0.15</v>
      </c>
      <c r="X212" s="33">
        <f t="shared" si="27"/>
        <v>1905.8274999999996</v>
      </c>
      <c r="Y212" s="33" t="str">
        <f t="shared" si="28"/>
        <v>Mark Summers</v>
      </c>
      <c r="Z212" s="33" t="str">
        <f t="shared" si="29"/>
        <v>Late</v>
      </c>
      <c r="AA212" s="33" t="str">
        <f t="shared" si="30"/>
        <v>outlook.com</v>
      </c>
    </row>
    <row r="213" spans="1:27" ht="14.25" customHeight="1" x14ac:dyDescent="0.3">
      <c r="A213" t="s">
        <v>528</v>
      </c>
      <c r="B213" t="s">
        <v>394</v>
      </c>
      <c r="C213" t="s">
        <v>529</v>
      </c>
      <c r="D213">
        <v>51</v>
      </c>
      <c r="E213" t="s">
        <v>52</v>
      </c>
      <c r="F213" t="s">
        <v>140</v>
      </c>
      <c r="G213" t="s">
        <v>530</v>
      </c>
      <c r="H213" t="s">
        <v>531</v>
      </c>
      <c r="I213" t="s">
        <v>1100</v>
      </c>
      <c r="J213" s="8">
        <v>45339</v>
      </c>
      <c r="K213" t="s">
        <v>1101</v>
      </c>
      <c r="L213" t="s">
        <v>308</v>
      </c>
      <c r="M213">
        <v>129.75</v>
      </c>
      <c r="N213">
        <v>3</v>
      </c>
      <c r="O213" t="s">
        <v>58</v>
      </c>
      <c r="P213">
        <v>5</v>
      </c>
      <c r="Q213">
        <v>37</v>
      </c>
      <c r="R213" s="8">
        <v>45341</v>
      </c>
      <c r="S213" t="s">
        <v>1102</v>
      </c>
      <c r="T213" s="34">
        <f t="shared" si="24"/>
        <v>2</v>
      </c>
      <c r="U213" s="34">
        <f t="shared" si="25"/>
        <v>389.25</v>
      </c>
      <c r="V213" s="34">
        <f t="shared" si="26"/>
        <v>426.25</v>
      </c>
      <c r="W213" s="36">
        <f t="shared" si="31"/>
        <v>0.15</v>
      </c>
      <c r="X213" s="34">
        <f t="shared" si="27"/>
        <v>362.3125</v>
      </c>
      <c r="Y213" s="34" t="str">
        <f t="shared" si="28"/>
        <v>Jason Nguyen</v>
      </c>
      <c r="Z213" s="34" t="str">
        <f t="shared" si="29"/>
        <v>BeforeTime</v>
      </c>
      <c r="AA213" s="34" t="str">
        <f t="shared" si="30"/>
        <v>yahoo.com</v>
      </c>
    </row>
    <row r="214" spans="1:27" ht="14.25" customHeight="1" x14ac:dyDescent="0.3">
      <c r="A214" t="s">
        <v>1103</v>
      </c>
      <c r="B214" t="s">
        <v>1104</v>
      </c>
      <c r="C214" t="s">
        <v>1105</v>
      </c>
      <c r="D214">
        <v>18</v>
      </c>
      <c r="E214" t="s">
        <v>29</v>
      </c>
      <c r="F214" t="s">
        <v>76</v>
      </c>
      <c r="G214" t="s">
        <v>1106</v>
      </c>
      <c r="H214" t="s">
        <v>1107</v>
      </c>
      <c r="I214" t="s">
        <v>1108</v>
      </c>
      <c r="J214" s="8">
        <v>45349</v>
      </c>
      <c r="K214" t="s">
        <v>1109</v>
      </c>
      <c r="L214" t="s">
        <v>657</v>
      </c>
      <c r="M214">
        <v>235.63</v>
      </c>
      <c r="N214">
        <v>1</v>
      </c>
      <c r="O214" t="s">
        <v>36</v>
      </c>
      <c r="P214">
        <v>6</v>
      </c>
      <c r="Q214">
        <v>58</v>
      </c>
      <c r="R214" s="8">
        <v>45354</v>
      </c>
      <c r="S214" t="s">
        <v>1110</v>
      </c>
      <c r="T214" s="33">
        <f t="shared" si="24"/>
        <v>5</v>
      </c>
      <c r="U214" s="33">
        <f t="shared" si="25"/>
        <v>235.63</v>
      </c>
      <c r="V214" s="33">
        <f t="shared" si="26"/>
        <v>293.63</v>
      </c>
      <c r="W214" s="36">
        <f t="shared" si="31"/>
        <v>0.08</v>
      </c>
      <c r="X214" s="33">
        <f t="shared" si="27"/>
        <v>270.13960000000003</v>
      </c>
      <c r="Y214" s="33" t="str">
        <f t="shared" si="28"/>
        <v>Gary Huff</v>
      </c>
      <c r="Z214" s="33" t="str">
        <f t="shared" si="29"/>
        <v>BeforeTime</v>
      </c>
      <c r="AA214" s="33" t="str">
        <f t="shared" si="30"/>
        <v>gmail.com</v>
      </c>
    </row>
    <row r="215" spans="1:27" ht="14.25" customHeight="1" x14ac:dyDescent="0.3">
      <c r="A215" t="s">
        <v>175</v>
      </c>
      <c r="B215" t="s">
        <v>176</v>
      </c>
      <c r="C215" t="s">
        <v>177</v>
      </c>
      <c r="D215">
        <v>36</v>
      </c>
      <c r="E215" t="s">
        <v>52</v>
      </c>
      <c r="F215" t="s">
        <v>140</v>
      </c>
      <c r="G215" t="s">
        <v>178</v>
      </c>
      <c r="H215" t="s">
        <v>179</v>
      </c>
      <c r="I215" t="s">
        <v>1111</v>
      </c>
      <c r="J215" s="8">
        <v>45549</v>
      </c>
      <c r="K215" t="s">
        <v>1112</v>
      </c>
      <c r="L215" t="s">
        <v>514</v>
      </c>
      <c r="M215">
        <v>136.30000000000001</v>
      </c>
      <c r="N215">
        <v>2</v>
      </c>
      <c r="O215" t="s">
        <v>85</v>
      </c>
      <c r="P215">
        <v>7</v>
      </c>
      <c r="Q215">
        <v>51</v>
      </c>
      <c r="R215" s="8">
        <v>45550</v>
      </c>
      <c r="S215" t="s">
        <v>1113</v>
      </c>
      <c r="T215" s="34">
        <f t="shared" si="24"/>
        <v>1</v>
      </c>
      <c r="U215" s="34">
        <f t="shared" si="25"/>
        <v>272.60000000000002</v>
      </c>
      <c r="V215" s="34">
        <f t="shared" si="26"/>
        <v>323.60000000000002</v>
      </c>
      <c r="W215" s="36">
        <f t="shared" si="31"/>
        <v>0.2</v>
      </c>
      <c r="X215" s="34">
        <f t="shared" si="27"/>
        <v>258.88000000000005</v>
      </c>
      <c r="Y215" s="34" t="str">
        <f t="shared" si="28"/>
        <v>Gina Moreno</v>
      </c>
      <c r="Z215" s="34" t="str">
        <f t="shared" si="29"/>
        <v>BeforeTime</v>
      </c>
      <c r="AA215" s="34" t="str">
        <f t="shared" si="30"/>
        <v>rediffmail.com</v>
      </c>
    </row>
    <row r="216" spans="1:27" ht="14.25" customHeight="1" x14ac:dyDescent="0.3">
      <c r="A216" t="s">
        <v>483</v>
      </c>
      <c r="B216" t="s">
        <v>484</v>
      </c>
      <c r="C216" t="s">
        <v>130</v>
      </c>
      <c r="D216">
        <v>68</v>
      </c>
      <c r="E216" t="s">
        <v>52</v>
      </c>
      <c r="F216" t="s">
        <v>220</v>
      </c>
      <c r="G216" t="s">
        <v>485</v>
      </c>
      <c r="H216" t="s">
        <v>486</v>
      </c>
      <c r="I216" t="s">
        <v>1114</v>
      </c>
      <c r="J216" s="8">
        <v>45112</v>
      </c>
      <c r="K216" t="s">
        <v>1115</v>
      </c>
      <c r="L216" t="s">
        <v>941</v>
      </c>
      <c r="M216">
        <v>107.47</v>
      </c>
      <c r="N216">
        <v>4</v>
      </c>
      <c r="O216" t="s">
        <v>85</v>
      </c>
      <c r="P216">
        <v>5</v>
      </c>
      <c r="Q216">
        <v>51</v>
      </c>
      <c r="R216" s="8">
        <v>45115</v>
      </c>
      <c r="S216" t="s">
        <v>1116</v>
      </c>
      <c r="T216" s="33">
        <f t="shared" si="24"/>
        <v>3</v>
      </c>
      <c r="U216" s="33">
        <f t="shared" si="25"/>
        <v>429.88</v>
      </c>
      <c r="V216" s="33">
        <f t="shared" si="26"/>
        <v>480.88</v>
      </c>
      <c r="W216" s="36">
        <f t="shared" si="31"/>
        <v>0.2</v>
      </c>
      <c r="X216" s="33">
        <f t="shared" si="27"/>
        <v>384.70400000000001</v>
      </c>
      <c r="Y216" s="33" t="str">
        <f t="shared" si="28"/>
        <v>Brittany Stewart</v>
      </c>
      <c r="Z216" s="33" t="str">
        <f t="shared" si="29"/>
        <v>BeforeTime</v>
      </c>
      <c r="AA216" s="33" t="str">
        <f t="shared" si="30"/>
        <v>gmail.com</v>
      </c>
    </row>
    <row r="217" spans="1:27" ht="14.25" customHeight="1" x14ac:dyDescent="0.3">
      <c r="A217" t="s">
        <v>925</v>
      </c>
      <c r="B217" t="s">
        <v>926</v>
      </c>
      <c r="C217" t="s">
        <v>927</v>
      </c>
      <c r="D217">
        <v>24</v>
      </c>
      <c r="E217" t="s">
        <v>52</v>
      </c>
      <c r="F217" t="s">
        <v>220</v>
      </c>
      <c r="G217" t="s">
        <v>928</v>
      </c>
      <c r="H217" t="s">
        <v>929</v>
      </c>
      <c r="I217" t="s">
        <v>1117</v>
      </c>
      <c r="J217" s="8">
        <v>45271</v>
      </c>
      <c r="K217" t="s">
        <v>1118</v>
      </c>
      <c r="L217" t="s">
        <v>105</v>
      </c>
      <c r="M217">
        <v>275.44</v>
      </c>
      <c r="N217">
        <v>2</v>
      </c>
      <c r="O217" t="s">
        <v>36</v>
      </c>
      <c r="P217">
        <v>2</v>
      </c>
      <c r="Q217">
        <v>36</v>
      </c>
      <c r="R217" s="8">
        <v>45276</v>
      </c>
      <c r="S217" t="s">
        <v>1119</v>
      </c>
      <c r="T217" s="34">
        <f t="shared" si="24"/>
        <v>5</v>
      </c>
      <c r="U217" s="34">
        <f t="shared" si="25"/>
        <v>550.88</v>
      </c>
      <c r="V217" s="34">
        <f t="shared" si="26"/>
        <v>586.88</v>
      </c>
      <c r="W217" s="36">
        <f t="shared" si="31"/>
        <v>0.08</v>
      </c>
      <c r="X217" s="34">
        <f t="shared" si="27"/>
        <v>539.92960000000005</v>
      </c>
      <c r="Y217" s="34" t="str">
        <f t="shared" si="28"/>
        <v>Rachael Robinson</v>
      </c>
      <c r="Z217" s="34" t="str">
        <f t="shared" si="29"/>
        <v>Late</v>
      </c>
      <c r="AA217" s="34" t="str">
        <f t="shared" si="30"/>
        <v>rediffmail.com</v>
      </c>
    </row>
    <row r="218" spans="1:27" ht="14.25" customHeight="1" x14ac:dyDescent="0.3">
      <c r="A218" t="s">
        <v>776</v>
      </c>
      <c r="B218" t="s">
        <v>777</v>
      </c>
      <c r="C218" t="s">
        <v>778</v>
      </c>
      <c r="D218">
        <v>32</v>
      </c>
      <c r="E218" t="s">
        <v>29</v>
      </c>
      <c r="F218" t="s">
        <v>159</v>
      </c>
      <c r="G218" t="s">
        <v>779</v>
      </c>
      <c r="H218" t="s">
        <v>780</v>
      </c>
      <c r="I218" t="s">
        <v>1120</v>
      </c>
      <c r="J218" s="8">
        <v>45588</v>
      </c>
      <c r="K218" t="s">
        <v>1121</v>
      </c>
      <c r="L218" t="s">
        <v>941</v>
      </c>
      <c r="M218">
        <v>107.47</v>
      </c>
      <c r="N218">
        <v>2</v>
      </c>
      <c r="O218" t="s">
        <v>58</v>
      </c>
      <c r="P218">
        <v>5</v>
      </c>
      <c r="Q218">
        <v>55</v>
      </c>
      <c r="R218" s="8">
        <v>45592</v>
      </c>
      <c r="S218" t="s">
        <v>1122</v>
      </c>
      <c r="T218" s="33">
        <f t="shared" si="24"/>
        <v>4</v>
      </c>
      <c r="U218" s="33">
        <f t="shared" si="25"/>
        <v>214.94</v>
      </c>
      <c r="V218" s="33">
        <f t="shared" si="26"/>
        <v>269.94</v>
      </c>
      <c r="W218" s="36">
        <f t="shared" si="31"/>
        <v>0.15</v>
      </c>
      <c r="X218" s="33">
        <f t="shared" si="27"/>
        <v>229.44899999999998</v>
      </c>
      <c r="Y218" s="33" t="str">
        <f t="shared" si="28"/>
        <v>Lindsey Byrd</v>
      </c>
      <c r="Z218" s="33" t="str">
        <f t="shared" si="29"/>
        <v>BeforeTime</v>
      </c>
      <c r="AA218" s="33" t="str">
        <f t="shared" si="30"/>
        <v>rediffmail.com</v>
      </c>
    </row>
    <row r="219" spans="1:27" ht="14.25" customHeight="1" x14ac:dyDescent="0.3">
      <c r="A219" t="s">
        <v>65</v>
      </c>
      <c r="B219" t="s">
        <v>66</v>
      </c>
      <c r="C219" t="s">
        <v>67</v>
      </c>
      <c r="D219">
        <v>49</v>
      </c>
      <c r="E219" t="s">
        <v>52</v>
      </c>
      <c r="F219" t="s">
        <v>30</v>
      </c>
      <c r="G219" t="s">
        <v>68</v>
      </c>
      <c r="H219" t="s">
        <v>69</v>
      </c>
      <c r="I219" t="s">
        <v>1123</v>
      </c>
      <c r="J219" s="8">
        <v>45578</v>
      </c>
      <c r="K219" t="s">
        <v>1124</v>
      </c>
      <c r="L219" t="s">
        <v>291</v>
      </c>
      <c r="M219">
        <v>158.53</v>
      </c>
      <c r="N219">
        <v>5</v>
      </c>
      <c r="O219" t="s">
        <v>36</v>
      </c>
      <c r="P219">
        <v>2</v>
      </c>
      <c r="Q219">
        <v>64</v>
      </c>
      <c r="R219" s="8">
        <v>45582</v>
      </c>
      <c r="S219" t="s">
        <v>1125</v>
      </c>
      <c r="T219" s="34">
        <f t="shared" si="24"/>
        <v>4</v>
      </c>
      <c r="U219" s="34">
        <f t="shared" si="25"/>
        <v>792.65</v>
      </c>
      <c r="V219" s="34">
        <f t="shared" si="26"/>
        <v>856.65</v>
      </c>
      <c r="W219" s="36">
        <f t="shared" si="31"/>
        <v>0.08</v>
      </c>
      <c r="X219" s="34">
        <f t="shared" si="27"/>
        <v>788.11800000000005</v>
      </c>
      <c r="Y219" s="34" t="str">
        <f t="shared" si="28"/>
        <v>Angela Horne</v>
      </c>
      <c r="Z219" s="34" t="str">
        <f t="shared" si="29"/>
        <v>Late</v>
      </c>
      <c r="AA219" s="34" t="str">
        <f t="shared" si="30"/>
        <v>outlook.com</v>
      </c>
    </row>
    <row r="220" spans="1:27" ht="14.25" customHeight="1" x14ac:dyDescent="0.3">
      <c r="A220" t="s">
        <v>209</v>
      </c>
      <c r="B220" t="s">
        <v>210</v>
      </c>
      <c r="C220" t="s">
        <v>211</v>
      </c>
      <c r="D220">
        <v>39</v>
      </c>
      <c r="E220" t="s">
        <v>41</v>
      </c>
      <c r="F220" t="s">
        <v>159</v>
      </c>
      <c r="G220" t="s">
        <v>212</v>
      </c>
      <c r="H220" t="s">
        <v>213</v>
      </c>
      <c r="I220" t="s">
        <v>1126</v>
      </c>
      <c r="J220" s="8">
        <v>45541</v>
      </c>
      <c r="K220" t="s">
        <v>1127</v>
      </c>
      <c r="L220" t="s">
        <v>95</v>
      </c>
      <c r="M220">
        <v>363.64</v>
      </c>
      <c r="N220">
        <v>2</v>
      </c>
      <c r="O220" t="s">
        <v>85</v>
      </c>
      <c r="P220">
        <v>6</v>
      </c>
      <c r="Q220">
        <v>37</v>
      </c>
      <c r="R220" s="8">
        <v>45544</v>
      </c>
      <c r="S220" t="s">
        <v>1128</v>
      </c>
      <c r="T220" s="33">
        <f t="shared" si="24"/>
        <v>3</v>
      </c>
      <c r="U220" s="33">
        <f t="shared" si="25"/>
        <v>727.28</v>
      </c>
      <c r="V220" s="33">
        <f t="shared" si="26"/>
        <v>764.28</v>
      </c>
      <c r="W220" s="36">
        <f t="shared" si="31"/>
        <v>0.2</v>
      </c>
      <c r="X220" s="33">
        <f t="shared" si="27"/>
        <v>611.42399999999998</v>
      </c>
      <c r="Y220" s="33" t="str">
        <f t="shared" si="28"/>
        <v>Christian Clayton</v>
      </c>
      <c r="Z220" s="33" t="str">
        <f t="shared" si="29"/>
        <v>BeforeTime</v>
      </c>
      <c r="AA220" s="33" t="str">
        <f t="shared" si="30"/>
        <v>yahoo.com</v>
      </c>
    </row>
    <row r="221" spans="1:27" ht="14.25" customHeight="1" x14ac:dyDescent="0.3">
      <c r="A221" t="s">
        <v>333</v>
      </c>
      <c r="B221" t="s">
        <v>334</v>
      </c>
      <c r="C221" t="s">
        <v>335</v>
      </c>
      <c r="D221">
        <v>23</v>
      </c>
      <c r="E221" t="s">
        <v>29</v>
      </c>
      <c r="F221" t="s">
        <v>30</v>
      </c>
      <c r="G221" t="s">
        <v>336</v>
      </c>
      <c r="H221" t="s">
        <v>337</v>
      </c>
      <c r="I221" t="s">
        <v>1129</v>
      </c>
      <c r="J221" s="8">
        <v>45504</v>
      </c>
      <c r="K221" t="s">
        <v>1130</v>
      </c>
      <c r="L221" t="s">
        <v>514</v>
      </c>
      <c r="M221">
        <v>136.30000000000001</v>
      </c>
      <c r="N221">
        <v>2</v>
      </c>
      <c r="O221" t="s">
        <v>96</v>
      </c>
      <c r="P221">
        <v>3</v>
      </c>
      <c r="Q221">
        <v>47</v>
      </c>
      <c r="R221" s="8">
        <v>45511</v>
      </c>
      <c r="S221" t="s">
        <v>1131</v>
      </c>
      <c r="T221" s="34">
        <f t="shared" si="24"/>
        <v>7</v>
      </c>
      <c r="U221" s="34">
        <f t="shared" si="25"/>
        <v>272.60000000000002</v>
      </c>
      <c r="V221" s="34">
        <f t="shared" si="26"/>
        <v>319.60000000000002</v>
      </c>
      <c r="W221" s="36">
        <f t="shared" si="31"/>
        <v>0.1</v>
      </c>
      <c r="X221" s="34">
        <f t="shared" si="27"/>
        <v>287.64000000000004</v>
      </c>
      <c r="Y221" s="34" t="str">
        <f t="shared" si="28"/>
        <v>Julie Meyer</v>
      </c>
      <c r="Z221" s="34" t="str">
        <f t="shared" si="29"/>
        <v>Late</v>
      </c>
      <c r="AA221" s="34" t="str">
        <f t="shared" si="30"/>
        <v>yahoo.com</v>
      </c>
    </row>
    <row r="222" spans="1:27" ht="14.25" customHeight="1" x14ac:dyDescent="0.3">
      <c r="A222" t="s">
        <v>1079</v>
      </c>
      <c r="B222" t="s">
        <v>218</v>
      </c>
      <c r="C222" t="s">
        <v>1080</v>
      </c>
      <c r="D222">
        <v>55</v>
      </c>
      <c r="E222" t="s">
        <v>41</v>
      </c>
      <c r="F222" t="s">
        <v>159</v>
      </c>
      <c r="G222" t="s">
        <v>1081</v>
      </c>
      <c r="H222" t="s">
        <v>1082</v>
      </c>
      <c r="I222" t="s">
        <v>1132</v>
      </c>
      <c r="J222" s="8">
        <v>45408</v>
      </c>
      <c r="K222" t="s">
        <v>1133</v>
      </c>
      <c r="L222" t="s">
        <v>430</v>
      </c>
      <c r="M222">
        <v>369.03</v>
      </c>
      <c r="N222">
        <v>3</v>
      </c>
      <c r="O222" t="s">
        <v>85</v>
      </c>
      <c r="P222">
        <v>2</v>
      </c>
      <c r="Q222">
        <v>65</v>
      </c>
      <c r="R222" s="8">
        <v>45412</v>
      </c>
      <c r="S222" t="s">
        <v>1134</v>
      </c>
      <c r="T222" s="33">
        <f t="shared" si="24"/>
        <v>4</v>
      </c>
      <c r="U222" s="33">
        <f t="shared" si="25"/>
        <v>1107.0899999999999</v>
      </c>
      <c r="V222" s="33">
        <f t="shared" si="26"/>
        <v>1172.0899999999999</v>
      </c>
      <c r="W222" s="36">
        <f t="shared" si="31"/>
        <v>0.2</v>
      </c>
      <c r="X222" s="33">
        <f t="shared" si="27"/>
        <v>937.67200000000003</v>
      </c>
      <c r="Y222" s="33" t="str">
        <f t="shared" si="28"/>
        <v>Mark Summers</v>
      </c>
      <c r="Z222" s="33" t="str">
        <f t="shared" si="29"/>
        <v>Late</v>
      </c>
      <c r="AA222" s="33" t="str">
        <f t="shared" si="30"/>
        <v>outlook.com</v>
      </c>
    </row>
    <row r="223" spans="1:27" ht="14.25" customHeight="1" x14ac:dyDescent="0.3">
      <c r="A223" t="s">
        <v>263</v>
      </c>
      <c r="B223" t="s">
        <v>264</v>
      </c>
      <c r="C223" t="s">
        <v>265</v>
      </c>
      <c r="D223">
        <v>54</v>
      </c>
      <c r="E223" t="s">
        <v>41</v>
      </c>
      <c r="F223" t="s">
        <v>30</v>
      </c>
      <c r="G223" t="s">
        <v>266</v>
      </c>
      <c r="H223" t="s">
        <v>267</v>
      </c>
      <c r="I223" t="s">
        <v>1135</v>
      </c>
      <c r="J223" s="8">
        <v>45105</v>
      </c>
      <c r="K223" t="s">
        <v>1136</v>
      </c>
      <c r="L223" t="s">
        <v>748</v>
      </c>
      <c r="M223">
        <v>381.73</v>
      </c>
      <c r="N223">
        <v>2</v>
      </c>
      <c r="O223" t="s">
        <v>58</v>
      </c>
      <c r="P223">
        <v>3</v>
      </c>
      <c r="Q223">
        <v>70</v>
      </c>
      <c r="R223" s="8">
        <v>45112</v>
      </c>
      <c r="S223" t="s">
        <v>1137</v>
      </c>
      <c r="T223" s="34">
        <f t="shared" si="24"/>
        <v>7</v>
      </c>
      <c r="U223" s="34">
        <f t="shared" si="25"/>
        <v>763.46</v>
      </c>
      <c r="V223" s="34">
        <f t="shared" si="26"/>
        <v>833.46</v>
      </c>
      <c r="W223" s="36">
        <f t="shared" si="31"/>
        <v>0.15</v>
      </c>
      <c r="X223" s="34">
        <f t="shared" si="27"/>
        <v>708.44100000000003</v>
      </c>
      <c r="Y223" s="34" t="str">
        <f t="shared" si="28"/>
        <v>Taylor Davis</v>
      </c>
      <c r="Z223" s="34" t="str">
        <f t="shared" si="29"/>
        <v>Late</v>
      </c>
      <c r="AA223" s="34" t="str">
        <f t="shared" si="30"/>
        <v>yahoo.com</v>
      </c>
    </row>
    <row r="224" spans="1:27" ht="14.25" customHeight="1" x14ac:dyDescent="0.3">
      <c r="A224" t="s">
        <v>646</v>
      </c>
      <c r="B224" t="s">
        <v>647</v>
      </c>
      <c r="C224" t="s">
        <v>648</v>
      </c>
      <c r="D224">
        <v>45</v>
      </c>
      <c r="E224" t="s">
        <v>52</v>
      </c>
      <c r="F224" t="s">
        <v>90</v>
      </c>
      <c r="G224" t="s">
        <v>649</v>
      </c>
      <c r="H224" t="s">
        <v>650</v>
      </c>
      <c r="I224" t="s">
        <v>1138</v>
      </c>
      <c r="J224" s="8">
        <v>45677</v>
      </c>
      <c r="K224" t="s">
        <v>1139</v>
      </c>
      <c r="L224" t="s">
        <v>495</v>
      </c>
      <c r="M224">
        <v>421.7</v>
      </c>
      <c r="N224">
        <v>3</v>
      </c>
      <c r="O224" t="s">
        <v>96</v>
      </c>
      <c r="P224">
        <v>6</v>
      </c>
      <c r="Q224">
        <v>38</v>
      </c>
      <c r="R224" s="8">
        <v>45680</v>
      </c>
      <c r="S224" t="s">
        <v>1140</v>
      </c>
      <c r="T224" s="33">
        <f t="shared" si="24"/>
        <v>3</v>
      </c>
      <c r="U224" s="33">
        <f t="shared" si="25"/>
        <v>1265.0999999999999</v>
      </c>
      <c r="V224" s="33">
        <f t="shared" si="26"/>
        <v>1303.0999999999999</v>
      </c>
      <c r="W224" s="36">
        <f t="shared" si="31"/>
        <v>0.1</v>
      </c>
      <c r="X224" s="33">
        <f t="shared" si="27"/>
        <v>1172.79</v>
      </c>
      <c r="Y224" s="33" t="str">
        <f t="shared" si="28"/>
        <v>Beth Mason</v>
      </c>
      <c r="Z224" s="33" t="str">
        <f t="shared" si="29"/>
        <v>BeforeTime</v>
      </c>
      <c r="AA224" s="33" t="str">
        <f t="shared" si="30"/>
        <v>outlook.com</v>
      </c>
    </row>
    <row r="225" spans="1:27" ht="14.25" customHeight="1" x14ac:dyDescent="0.3">
      <c r="A225" t="s">
        <v>1079</v>
      </c>
      <c r="B225" t="s">
        <v>218</v>
      </c>
      <c r="C225" t="s">
        <v>1080</v>
      </c>
      <c r="D225">
        <v>55</v>
      </c>
      <c r="E225" t="s">
        <v>41</v>
      </c>
      <c r="F225" t="s">
        <v>159</v>
      </c>
      <c r="G225" t="s">
        <v>1081</v>
      </c>
      <c r="H225" t="s">
        <v>1082</v>
      </c>
      <c r="I225" t="s">
        <v>1141</v>
      </c>
      <c r="J225" s="8">
        <v>45186</v>
      </c>
      <c r="K225" t="s">
        <v>1142</v>
      </c>
      <c r="L225" t="s">
        <v>81</v>
      </c>
      <c r="M225">
        <v>330.11</v>
      </c>
      <c r="N225">
        <v>3</v>
      </c>
      <c r="O225" t="s">
        <v>36</v>
      </c>
      <c r="P225">
        <v>2</v>
      </c>
      <c r="Q225">
        <v>40</v>
      </c>
      <c r="R225" s="8">
        <v>45191</v>
      </c>
      <c r="S225" t="s">
        <v>1143</v>
      </c>
      <c r="T225" s="34">
        <f t="shared" si="24"/>
        <v>5</v>
      </c>
      <c r="U225" s="34">
        <f t="shared" si="25"/>
        <v>990.33</v>
      </c>
      <c r="V225" s="34">
        <f t="shared" si="26"/>
        <v>1030.33</v>
      </c>
      <c r="W225" s="36">
        <f t="shared" si="31"/>
        <v>0.08</v>
      </c>
      <c r="X225" s="34">
        <f t="shared" si="27"/>
        <v>947.90359999999998</v>
      </c>
      <c r="Y225" s="34" t="str">
        <f t="shared" si="28"/>
        <v>Mark Summers</v>
      </c>
      <c r="Z225" s="34" t="str">
        <f t="shared" si="29"/>
        <v>Late</v>
      </c>
      <c r="AA225" s="34" t="str">
        <f t="shared" si="30"/>
        <v>outlook.com</v>
      </c>
    </row>
    <row r="226" spans="1:27" ht="14.25" customHeight="1" x14ac:dyDescent="0.3">
      <c r="A226" t="s">
        <v>301</v>
      </c>
      <c r="B226" t="s">
        <v>302</v>
      </c>
      <c r="C226" t="s">
        <v>303</v>
      </c>
      <c r="D226">
        <v>26</v>
      </c>
      <c r="E226" t="s">
        <v>52</v>
      </c>
      <c r="F226" t="s">
        <v>168</v>
      </c>
      <c r="G226" t="s">
        <v>304</v>
      </c>
      <c r="H226" t="s">
        <v>305</v>
      </c>
      <c r="I226" t="s">
        <v>1144</v>
      </c>
      <c r="J226" s="8">
        <v>45537</v>
      </c>
      <c r="K226" t="s">
        <v>1145</v>
      </c>
      <c r="L226" t="s">
        <v>344</v>
      </c>
      <c r="M226">
        <v>372.62</v>
      </c>
      <c r="N226">
        <v>1</v>
      </c>
      <c r="O226" t="s">
        <v>96</v>
      </c>
      <c r="P226">
        <v>4</v>
      </c>
      <c r="Q226">
        <v>36</v>
      </c>
      <c r="R226" s="8">
        <v>45541</v>
      </c>
      <c r="S226" t="s">
        <v>1146</v>
      </c>
      <c r="T226" s="33">
        <f t="shared" si="24"/>
        <v>4</v>
      </c>
      <c r="U226" s="33">
        <f t="shared" si="25"/>
        <v>372.62</v>
      </c>
      <c r="V226" s="33">
        <f t="shared" si="26"/>
        <v>408.62</v>
      </c>
      <c r="W226" s="36">
        <f t="shared" si="31"/>
        <v>0.1</v>
      </c>
      <c r="X226" s="33">
        <f t="shared" si="27"/>
        <v>367.75800000000004</v>
      </c>
      <c r="Y226" s="33" t="str">
        <f t="shared" si="28"/>
        <v>Valerie Carr</v>
      </c>
      <c r="Z226" s="33" t="str">
        <f t="shared" si="29"/>
        <v>Intime</v>
      </c>
      <c r="AA226" s="33" t="str">
        <f t="shared" si="30"/>
        <v>rediffmail.com</v>
      </c>
    </row>
    <row r="227" spans="1:27" ht="14.25" customHeight="1" x14ac:dyDescent="0.3">
      <c r="A227" t="s">
        <v>1103</v>
      </c>
      <c r="B227" t="s">
        <v>1104</v>
      </c>
      <c r="C227" t="s">
        <v>1105</v>
      </c>
      <c r="D227">
        <v>18</v>
      </c>
      <c r="E227" t="s">
        <v>29</v>
      </c>
      <c r="F227" t="s">
        <v>76</v>
      </c>
      <c r="G227" t="s">
        <v>1106</v>
      </c>
      <c r="H227" t="s">
        <v>1107</v>
      </c>
      <c r="I227" t="s">
        <v>1147</v>
      </c>
      <c r="J227" s="8">
        <v>45217</v>
      </c>
      <c r="K227" t="s">
        <v>1148</v>
      </c>
      <c r="L227" t="s">
        <v>323</v>
      </c>
      <c r="M227">
        <v>481.48</v>
      </c>
      <c r="N227">
        <v>3</v>
      </c>
      <c r="O227" t="s">
        <v>96</v>
      </c>
      <c r="P227">
        <v>2</v>
      </c>
      <c r="Q227">
        <v>42</v>
      </c>
      <c r="R227" s="8">
        <v>45221</v>
      </c>
      <c r="S227" t="s">
        <v>1149</v>
      </c>
      <c r="T227" s="34">
        <f t="shared" si="24"/>
        <v>4</v>
      </c>
      <c r="U227" s="34">
        <f t="shared" si="25"/>
        <v>1444.44</v>
      </c>
      <c r="V227" s="34">
        <f t="shared" si="26"/>
        <v>1486.44</v>
      </c>
      <c r="W227" s="36">
        <f t="shared" si="31"/>
        <v>0.1</v>
      </c>
      <c r="X227" s="34">
        <f t="shared" si="27"/>
        <v>1337.796</v>
      </c>
      <c r="Y227" s="34" t="str">
        <f t="shared" si="28"/>
        <v>Gary Huff</v>
      </c>
      <c r="Z227" s="34" t="str">
        <f t="shared" si="29"/>
        <v>Late</v>
      </c>
      <c r="AA227" s="34" t="str">
        <f t="shared" si="30"/>
        <v>gmail.com</v>
      </c>
    </row>
    <row r="228" spans="1:27" ht="14.25" customHeight="1" x14ac:dyDescent="0.3">
      <c r="A228" t="s">
        <v>184</v>
      </c>
      <c r="B228" t="s">
        <v>185</v>
      </c>
      <c r="C228" t="s">
        <v>186</v>
      </c>
      <c r="D228">
        <v>42</v>
      </c>
      <c r="E228" t="s">
        <v>41</v>
      </c>
      <c r="F228" t="s">
        <v>168</v>
      </c>
      <c r="G228" t="s">
        <v>187</v>
      </c>
      <c r="H228" t="s">
        <v>188</v>
      </c>
      <c r="I228" t="s">
        <v>1150</v>
      </c>
      <c r="J228" s="8">
        <v>45555</v>
      </c>
      <c r="K228" t="s">
        <v>1151</v>
      </c>
      <c r="L228" t="s">
        <v>35</v>
      </c>
      <c r="M228">
        <v>308.88</v>
      </c>
      <c r="N228">
        <v>1</v>
      </c>
      <c r="O228" t="s">
        <v>58</v>
      </c>
      <c r="P228">
        <v>3</v>
      </c>
      <c r="Q228">
        <v>54</v>
      </c>
      <c r="R228" s="8">
        <v>45556</v>
      </c>
      <c r="S228" t="s">
        <v>1152</v>
      </c>
      <c r="T228" s="33">
        <f t="shared" si="24"/>
        <v>1</v>
      </c>
      <c r="U228" s="33">
        <f t="shared" si="25"/>
        <v>308.88</v>
      </c>
      <c r="V228" s="33">
        <f t="shared" si="26"/>
        <v>362.88</v>
      </c>
      <c r="W228" s="36">
        <f t="shared" si="31"/>
        <v>0.15</v>
      </c>
      <c r="X228" s="33">
        <f t="shared" si="27"/>
        <v>308.44799999999998</v>
      </c>
      <c r="Y228" s="33" t="str">
        <f t="shared" si="28"/>
        <v>Mallory Mitchell</v>
      </c>
      <c r="Z228" s="33" t="str">
        <f t="shared" si="29"/>
        <v>BeforeTime</v>
      </c>
      <c r="AA228" s="33" t="str">
        <f t="shared" si="30"/>
        <v>yahoo.com</v>
      </c>
    </row>
    <row r="229" spans="1:27" ht="14.25" customHeight="1" x14ac:dyDescent="0.3">
      <c r="A229" t="s">
        <v>26</v>
      </c>
      <c r="B229" t="s">
        <v>27</v>
      </c>
      <c r="C229" t="s">
        <v>28</v>
      </c>
      <c r="D229">
        <v>37</v>
      </c>
      <c r="E229" t="s">
        <v>29</v>
      </c>
      <c r="F229" t="s">
        <v>30</v>
      </c>
      <c r="G229" t="s">
        <v>31</v>
      </c>
      <c r="H229" t="s">
        <v>32</v>
      </c>
      <c r="I229" t="s">
        <v>1153</v>
      </c>
      <c r="J229" s="8">
        <v>45162</v>
      </c>
      <c r="K229" t="s">
        <v>1154</v>
      </c>
      <c r="L229" t="s">
        <v>234</v>
      </c>
      <c r="M229">
        <v>132.97</v>
      </c>
      <c r="N229">
        <v>4</v>
      </c>
      <c r="O229" t="s">
        <v>96</v>
      </c>
      <c r="P229">
        <v>3</v>
      </c>
      <c r="Q229">
        <v>43</v>
      </c>
      <c r="R229" s="8">
        <v>45163</v>
      </c>
      <c r="S229" t="s">
        <v>1155</v>
      </c>
      <c r="T229" s="34">
        <f t="shared" si="24"/>
        <v>1</v>
      </c>
      <c r="U229" s="34">
        <f t="shared" si="25"/>
        <v>531.88</v>
      </c>
      <c r="V229" s="34">
        <f t="shared" si="26"/>
        <v>574.88</v>
      </c>
      <c r="W229" s="36">
        <f t="shared" si="31"/>
        <v>0.1</v>
      </c>
      <c r="X229" s="34">
        <f t="shared" si="27"/>
        <v>517.39200000000005</v>
      </c>
      <c r="Y229" s="34" t="str">
        <f t="shared" si="28"/>
        <v>Anne Oconnell</v>
      </c>
      <c r="Z229" s="34" t="str">
        <f t="shared" si="29"/>
        <v>BeforeTime</v>
      </c>
      <c r="AA229" s="34" t="str">
        <f t="shared" si="30"/>
        <v>outlook.com</v>
      </c>
    </row>
    <row r="230" spans="1:27" ht="14.25" customHeight="1" x14ac:dyDescent="0.3">
      <c r="A230" t="s">
        <v>227</v>
      </c>
      <c r="B230" t="s">
        <v>228</v>
      </c>
      <c r="C230" t="s">
        <v>229</v>
      </c>
      <c r="D230">
        <v>64</v>
      </c>
      <c r="E230" t="s">
        <v>41</v>
      </c>
      <c r="F230" t="s">
        <v>42</v>
      </c>
      <c r="G230" t="s">
        <v>230</v>
      </c>
      <c r="H230" t="s">
        <v>231</v>
      </c>
      <c r="I230" t="s">
        <v>1156</v>
      </c>
      <c r="J230" s="8">
        <v>45488</v>
      </c>
      <c r="K230" t="s">
        <v>1157</v>
      </c>
      <c r="L230" t="s">
        <v>344</v>
      </c>
      <c r="M230">
        <v>372.62</v>
      </c>
      <c r="N230">
        <v>4</v>
      </c>
      <c r="O230" t="s">
        <v>36</v>
      </c>
      <c r="P230">
        <v>1</v>
      </c>
      <c r="Q230">
        <v>45</v>
      </c>
      <c r="R230" s="8">
        <v>45492</v>
      </c>
      <c r="S230" t="s">
        <v>1158</v>
      </c>
      <c r="T230" s="33">
        <f t="shared" si="24"/>
        <v>4</v>
      </c>
      <c r="U230" s="33">
        <f t="shared" si="25"/>
        <v>1490.48</v>
      </c>
      <c r="V230" s="33">
        <f t="shared" si="26"/>
        <v>1535.48</v>
      </c>
      <c r="W230" s="36">
        <f t="shared" si="31"/>
        <v>0.08</v>
      </c>
      <c r="X230" s="33">
        <f t="shared" si="27"/>
        <v>1412.6416000000002</v>
      </c>
      <c r="Y230" s="33" t="str">
        <f t="shared" si="28"/>
        <v>John Herrera</v>
      </c>
      <c r="Z230" s="33" t="str">
        <f t="shared" si="29"/>
        <v>Late</v>
      </c>
      <c r="AA230" s="33" t="str">
        <f t="shared" si="30"/>
        <v>outlook.com</v>
      </c>
    </row>
    <row r="231" spans="1:27" ht="14.25" customHeight="1" x14ac:dyDescent="0.3">
      <c r="A231" t="s">
        <v>466</v>
      </c>
      <c r="B231" t="s">
        <v>467</v>
      </c>
      <c r="C231" t="s">
        <v>468</v>
      </c>
      <c r="D231">
        <v>18</v>
      </c>
      <c r="E231" t="s">
        <v>41</v>
      </c>
      <c r="F231" t="s">
        <v>42</v>
      </c>
      <c r="G231" t="s">
        <v>469</v>
      </c>
      <c r="H231" t="s">
        <v>470</v>
      </c>
      <c r="I231" t="s">
        <v>1159</v>
      </c>
      <c r="J231" s="8">
        <v>45273</v>
      </c>
      <c r="K231" t="s">
        <v>1160</v>
      </c>
      <c r="L231" t="s">
        <v>242</v>
      </c>
      <c r="M231">
        <v>126.19</v>
      </c>
      <c r="N231">
        <v>5</v>
      </c>
      <c r="O231" t="s">
        <v>96</v>
      </c>
      <c r="P231">
        <v>4</v>
      </c>
      <c r="Q231">
        <v>47</v>
      </c>
      <c r="R231" s="8">
        <v>45280</v>
      </c>
      <c r="S231" t="s">
        <v>1161</v>
      </c>
      <c r="T231" s="34">
        <f t="shared" si="24"/>
        <v>7</v>
      </c>
      <c r="U231" s="34">
        <f t="shared" si="25"/>
        <v>630.95000000000005</v>
      </c>
      <c r="V231" s="34">
        <f t="shared" si="26"/>
        <v>677.95</v>
      </c>
      <c r="W231" s="36">
        <f t="shared" si="31"/>
        <v>0.1</v>
      </c>
      <c r="X231" s="34">
        <f t="shared" si="27"/>
        <v>610.15500000000009</v>
      </c>
      <c r="Y231" s="34" t="str">
        <f t="shared" si="28"/>
        <v>Lori Cook</v>
      </c>
      <c r="Z231" s="34" t="str">
        <f t="shared" si="29"/>
        <v>Late</v>
      </c>
      <c r="AA231" s="34" t="str">
        <f t="shared" si="30"/>
        <v>rediffmail.com</v>
      </c>
    </row>
    <row r="232" spans="1:27" ht="14.25" customHeight="1" x14ac:dyDescent="0.3">
      <c r="A232" t="s">
        <v>1103</v>
      </c>
      <c r="B232" t="s">
        <v>1104</v>
      </c>
      <c r="C232" t="s">
        <v>1105</v>
      </c>
      <c r="D232">
        <v>18</v>
      </c>
      <c r="E232" t="s">
        <v>29</v>
      </c>
      <c r="F232" t="s">
        <v>76</v>
      </c>
      <c r="G232" t="s">
        <v>1106</v>
      </c>
      <c r="H232" t="s">
        <v>1107</v>
      </c>
      <c r="I232" t="s">
        <v>1162</v>
      </c>
      <c r="J232" s="8">
        <v>45117</v>
      </c>
      <c r="K232" t="s">
        <v>1163</v>
      </c>
      <c r="L232" t="s">
        <v>590</v>
      </c>
      <c r="M232">
        <v>403.03</v>
      </c>
      <c r="N232">
        <v>2</v>
      </c>
      <c r="O232" t="s">
        <v>58</v>
      </c>
      <c r="P232">
        <v>7</v>
      </c>
      <c r="Q232">
        <v>45</v>
      </c>
      <c r="R232" s="8">
        <v>45118</v>
      </c>
      <c r="S232" t="s">
        <v>1164</v>
      </c>
      <c r="T232" s="33">
        <f t="shared" si="24"/>
        <v>1</v>
      </c>
      <c r="U232" s="33">
        <f t="shared" si="25"/>
        <v>806.06</v>
      </c>
      <c r="V232" s="33">
        <f t="shared" si="26"/>
        <v>851.06</v>
      </c>
      <c r="W232" s="36">
        <f t="shared" si="31"/>
        <v>0.15</v>
      </c>
      <c r="X232" s="33">
        <f t="shared" si="27"/>
        <v>723.40099999999995</v>
      </c>
      <c r="Y232" s="33" t="str">
        <f t="shared" si="28"/>
        <v>Gary Huff</v>
      </c>
      <c r="Z232" s="33" t="str">
        <f t="shared" si="29"/>
        <v>BeforeTime</v>
      </c>
      <c r="AA232" s="33" t="str">
        <f t="shared" si="30"/>
        <v>gmail.com</v>
      </c>
    </row>
    <row r="233" spans="1:27" ht="14.25" customHeight="1" x14ac:dyDescent="0.3">
      <c r="A233" t="s">
        <v>1103</v>
      </c>
      <c r="B233" t="s">
        <v>1104</v>
      </c>
      <c r="C233" t="s">
        <v>1105</v>
      </c>
      <c r="D233">
        <v>18</v>
      </c>
      <c r="E233" t="s">
        <v>29</v>
      </c>
      <c r="F233" t="s">
        <v>76</v>
      </c>
      <c r="G233" t="s">
        <v>1106</v>
      </c>
      <c r="H233" t="s">
        <v>1107</v>
      </c>
      <c r="I233" t="s">
        <v>1165</v>
      </c>
      <c r="J233" s="8">
        <v>45392</v>
      </c>
      <c r="K233" t="s">
        <v>1166</v>
      </c>
      <c r="L233" t="s">
        <v>287</v>
      </c>
      <c r="M233">
        <v>157.63999999999999</v>
      </c>
      <c r="N233">
        <v>2</v>
      </c>
      <c r="O233" t="s">
        <v>58</v>
      </c>
      <c r="P233">
        <v>5</v>
      </c>
      <c r="Q233">
        <v>64</v>
      </c>
      <c r="R233" s="8">
        <v>45395</v>
      </c>
      <c r="S233" t="s">
        <v>1167</v>
      </c>
      <c r="T233" s="34">
        <f t="shared" si="24"/>
        <v>3</v>
      </c>
      <c r="U233" s="34">
        <f t="shared" si="25"/>
        <v>315.27999999999997</v>
      </c>
      <c r="V233" s="34">
        <f t="shared" si="26"/>
        <v>379.28</v>
      </c>
      <c r="W233" s="36">
        <f t="shared" si="31"/>
        <v>0.15</v>
      </c>
      <c r="X233" s="34">
        <f t="shared" si="27"/>
        <v>322.38799999999998</v>
      </c>
      <c r="Y233" s="34" t="str">
        <f t="shared" si="28"/>
        <v>Gary Huff</v>
      </c>
      <c r="Z233" s="34" t="str">
        <f t="shared" si="29"/>
        <v>BeforeTime</v>
      </c>
      <c r="AA233" s="34" t="str">
        <f t="shared" si="30"/>
        <v>gmail.com</v>
      </c>
    </row>
    <row r="234" spans="1:27" ht="14.25" customHeight="1" x14ac:dyDescent="0.3">
      <c r="A234" t="s">
        <v>1168</v>
      </c>
      <c r="B234" t="s">
        <v>1169</v>
      </c>
      <c r="C234" t="s">
        <v>1170</v>
      </c>
      <c r="D234">
        <v>59</v>
      </c>
      <c r="E234" t="s">
        <v>52</v>
      </c>
      <c r="F234" t="s">
        <v>168</v>
      </c>
      <c r="G234" t="s">
        <v>1171</v>
      </c>
      <c r="H234" t="s">
        <v>1172</v>
      </c>
      <c r="I234" t="s">
        <v>1173</v>
      </c>
      <c r="J234" s="8">
        <v>45251</v>
      </c>
      <c r="K234" t="s">
        <v>1174</v>
      </c>
      <c r="L234" t="s">
        <v>250</v>
      </c>
      <c r="M234">
        <v>128.13999999999999</v>
      </c>
      <c r="N234">
        <v>1</v>
      </c>
      <c r="O234" t="s">
        <v>96</v>
      </c>
      <c r="P234">
        <v>7</v>
      </c>
      <c r="Q234">
        <v>52</v>
      </c>
      <c r="R234" s="8">
        <v>45254</v>
      </c>
      <c r="S234" t="s">
        <v>1175</v>
      </c>
      <c r="T234" s="33">
        <f t="shared" si="24"/>
        <v>3</v>
      </c>
      <c r="U234" s="33">
        <f t="shared" si="25"/>
        <v>128.13999999999999</v>
      </c>
      <c r="V234" s="33">
        <f t="shared" si="26"/>
        <v>180.14</v>
      </c>
      <c r="W234" s="36">
        <f t="shared" si="31"/>
        <v>0.1</v>
      </c>
      <c r="X234" s="33">
        <f t="shared" si="27"/>
        <v>162.126</v>
      </c>
      <c r="Y234" s="33" t="str">
        <f t="shared" si="28"/>
        <v>Mike Carter</v>
      </c>
      <c r="Z234" s="33" t="str">
        <f t="shared" si="29"/>
        <v>BeforeTime</v>
      </c>
      <c r="AA234" s="33" t="str">
        <f t="shared" si="30"/>
        <v>rediffmail.com</v>
      </c>
    </row>
    <row r="235" spans="1:27" ht="14.25" customHeight="1" x14ac:dyDescent="0.3">
      <c r="A235" t="s">
        <v>272</v>
      </c>
      <c r="B235" t="s">
        <v>273</v>
      </c>
      <c r="C235" t="s">
        <v>274</v>
      </c>
      <c r="D235">
        <v>44</v>
      </c>
      <c r="E235" t="s">
        <v>29</v>
      </c>
      <c r="F235" t="s">
        <v>220</v>
      </c>
      <c r="G235" t="s">
        <v>275</v>
      </c>
      <c r="H235" t="s">
        <v>276</v>
      </c>
      <c r="I235" t="s">
        <v>1176</v>
      </c>
      <c r="J235" s="8">
        <v>45348</v>
      </c>
      <c r="K235" t="s">
        <v>1177</v>
      </c>
      <c r="L235" t="s">
        <v>126</v>
      </c>
      <c r="M235">
        <v>257.06</v>
      </c>
      <c r="N235">
        <v>3</v>
      </c>
      <c r="O235" t="s">
        <v>63</v>
      </c>
      <c r="P235">
        <v>5</v>
      </c>
      <c r="Q235">
        <v>63</v>
      </c>
      <c r="R235" s="8">
        <v>45354</v>
      </c>
      <c r="S235" t="s">
        <v>1178</v>
      </c>
      <c r="T235" s="34">
        <f t="shared" si="24"/>
        <v>6</v>
      </c>
      <c r="U235" s="34">
        <f t="shared" si="25"/>
        <v>771.18000000000006</v>
      </c>
      <c r="V235" s="34">
        <f t="shared" si="26"/>
        <v>834.18000000000006</v>
      </c>
      <c r="W235" s="36">
        <f t="shared" si="31"/>
        <v>0</v>
      </c>
      <c r="X235" s="34">
        <f t="shared" si="27"/>
        <v>834.18000000000006</v>
      </c>
      <c r="Y235" s="34" t="str">
        <f t="shared" si="28"/>
        <v>Lauren Long</v>
      </c>
      <c r="Z235" s="34" t="str">
        <f t="shared" si="29"/>
        <v>Late</v>
      </c>
      <c r="AA235" s="34" t="str">
        <f t="shared" si="30"/>
        <v>gmail.com</v>
      </c>
    </row>
    <row r="236" spans="1:27" ht="14.25" customHeight="1" x14ac:dyDescent="0.3">
      <c r="A236" t="s">
        <v>546</v>
      </c>
      <c r="B236" t="s">
        <v>547</v>
      </c>
      <c r="C236" t="s">
        <v>548</v>
      </c>
      <c r="D236">
        <v>33</v>
      </c>
      <c r="E236" t="s">
        <v>52</v>
      </c>
      <c r="F236" t="s">
        <v>168</v>
      </c>
      <c r="G236" t="s">
        <v>549</v>
      </c>
      <c r="H236" t="s">
        <v>550</v>
      </c>
      <c r="I236" t="s">
        <v>1179</v>
      </c>
      <c r="J236" s="8">
        <v>45257</v>
      </c>
      <c r="K236" t="s">
        <v>1180</v>
      </c>
      <c r="L236" t="s">
        <v>173</v>
      </c>
      <c r="M236">
        <v>272.51</v>
      </c>
      <c r="N236">
        <v>2</v>
      </c>
      <c r="O236" t="s">
        <v>96</v>
      </c>
      <c r="P236">
        <v>4</v>
      </c>
      <c r="Q236">
        <v>48</v>
      </c>
      <c r="R236" s="8">
        <v>45264</v>
      </c>
      <c r="S236" t="s">
        <v>1181</v>
      </c>
      <c r="T236" s="33">
        <f t="shared" si="24"/>
        <v>7</v>
      </c>
      <c r="U236" s="33">
        <f t="shared" si="25"/>
        <v>545.02</v>
      </c>
      <c r="V236" s="33">
        <f t="shared" si="26"/>
        <v>593.02</v>
      </c>
      <c r="W236" s="36">
        <f t="shared" si="31"/>
        <v>0.1</v>
      </c>
      <c r="X236" s="33">
        <f t="shared" si="27"/>
        <v>533.71799999999996</v>
      </c>
      <c r="Y236" s="33" t="str">
        <f t="shared" si="28"/>
        <v>Jodi Whitney</v>
      </c>
      <c r="Z236" s="33" t="str">
        <f t="shared" si="29"/>
        <v>Late</v>
      </c>
      <c r="AA236" s="33" t="str">
        <f t="shared" si="30"/>
        <v>yahoo.com</v>
      </c>
    </row>
    <row r="237" spans="1:27" ht="14.25" customHeight="1" x14ac:dyDescent="0.3">
      <c r="A237" t="s">
        <v>272</v>
      </c>
      <c r="B237" t="s">
        <v>273</v>
      </c>
      <c r="C237" t="s">
        <v>274</v>
      </c>
      <c r="D237">
        <v>44</v>
      </c>
      <c r="E237" t="s">
        <v>29</v>
      </c>
      <c r="F237" t="s">
        <v>220</v>
      </c>
      <c r="G237" t="s">
        <v>275</v>
      </c>
      <c r="H237" t="s">
        <v>276</v>
      </c>
      <c r="I237" t="s">
        <v>1182</v>
      </c>
      <c r="J237" s="8">
        <v>45390</v>
      </c>
      <c r="K237" t="s">
        <v>1183</v>
      </c>
      <c r="L237" t="s">
        <v>95</v>
      </c>
      <c r="M237">
        <v>363.64</v>
      </c>
      <c r="N237">
        <v>3</v>
      </c>
      <c r="O237" t="s">
        <v>58</v>
      </c>
      <c r="P237">
        <v>1</v>
      </c>
      <c r="Q237">
        <v>47</v>
      </c>
      <c r="R237" s="8">
        <v>45395</v>
      </c>
      <c r="S237" t="s">
        <v>1184</v>
      </c>
      <c r="T237" s="34">
        <f t="shared" si="24"/>
        <v>5</v>
      </c>
      <c r="U237" s="34">
        <f t="shared" si="25"/>
        <v>1090.92</v>
      </c>
      <c r="V237" s="34">
        <f t="shared" si="26"/>
        <v>1137.92</v>
      </c>
      <c r="W237" s="36">
        <f t="shared" si="31"/>
        <v>0.15</v>
      </c>
      <c r="X237" s="34">
        <f t="shared" si="27"/>
        <v>967.23200000000008</v>
      </c>
      <c r="Y237" s="34" t="str">
        <f t="shared" si="28"/>
        <v>Lauren Long</v>
      </c>
      <c r="Z237" s="34" t="str">
        <f t="shared" si="29"/>
        <v>Late</v>
      </c>
      <c r="AA237" s="34" t="str">
        <f t="shared" si="30"/>
        <v>gmail.com</v>
      </c>
    </row>
    <row r="238" spans="1:27" ht="14.25" customHeight="1" x14ac:dyDescent="0.3">
      <c r="A238" t="s">
        <v>592</v>
      </c>
      <c r="B238" t="s">
        <v>593</v>
      </c>
      <c r="C238" t="s">
        <v>594</v>
      </c>
      <c r="D238">
        <v>21</v>
      </c>
      <c r="E238" t="s">
        <v>29</v>
      </c>
      <c r="F238" t="s">
        <v>42</v>
      </c>
      <c r="G238" t="s">
        <v>595</v>
      </c>
      <c r="H238" t="s">
        <v>596</v>
      </c>
      <c r="I238" t="s">
        <v>1185</v>
      </c>
      <c r="J238" s="8">
        <v>45578</v>
      </c>
      <c r="K238" t="s">
        <v>1186</v>
      </c>
      <c r="L238" t="s">
        <v>95</v>
      </c>
      <c r="M238">
        <v>363.64</v>
      </c>
      <c r="N238">
        <v>3</v>
      </c>
      <c r="O238" t="s">
        <v>85</v>
      </c>
      <c r="P238">
        <v>6</v>
      </c>
      <c r="Q238">
        <v>64</v>
      </c>
      <c r="R238" s="8">
        <v>45585</v>
      </c>
      <c r="S238" t="s">
        <v>1187</v>
      </c>
      <c r="T238" s="33">
        <f t="shared" si="24"/>
        <v>7</v>
      </c>
      <c r="U238" s="33">
        <f t="shared" si="25"/>
        <v>1090.92</v>
      </c>
      <c r="V238" s="33">
        <f t="shared" si="26"/>
        <v>1154.92</v>
      </c>
      <c r="W238" s="36">
        <f t="shared" si="31"/>
        <v>0.2</v>
      </c>
      <c r="X238" s="33">
        <f t="shared" si="27"/>
        <v>923.93600000000015</v>
      </c>
      <c r="Y238" s="33" t="str">
        <f t="shared" si="28"/>
        <v>William Mann</v>
      </c>
      <c r="Z238" s="33" t="str">
        <f t="shared" si="29"/>
        <v>Late</v>
      </c>
      <c r="AA238" s="33" t="str">
        <f t="shared" si="30"/>
        <v>yahoo.com</v>
      </c>
    </row>
    <row r="239" spans="1:27" ht="14.25" customHeight="1" x14ac:dyDescent="0.3">
      <c r="A239" t="s">
        <v>639</v>
      </c>
      <c r="B239" t="s">
        <v>148</v>
      </c>
      <c r="C239" t="s">
        <v>640</v>
      </c>
      <c r="D239">
        <v>44</v>
      </c>
      <c r="E239" t="s">
        <v>52</v>
      </c>
      <c r="F239" t="s">
        <v>90</v>
      </c>
      <c r="G239" t="s">
        <v>641</v>
      </c>
      <c r="H239" t="s">
        <v>642</v>
      </c>
      <c r="I239" t="s">
        <v>1188</v>
      </c>
      <c r="J239" s="8">
        <v>45109</v>
      </c>
      <c r="K239" t="s">
        <v>1189</v>
      </c>
      <c r="L239" t="s">
        <v>657</v>
      </c>
      <c r="M239">
        <v>235.63</v>
      </c>
      <c r="N239">
        <v>5</v>
      </c>
      <c r="O239" t="s">
        <v>85</v>
      </c>
      <c r="P239">
        <v>6</v>
      </c>
      <c r="Q239">
        <v>63</v>
      </c>
      <c r="R239" s="8">
        <v>45114</v>
      </c>
      <c r="S239" t="s">
        <v>1190</v>
      </c>
      <c r="T239" s="34">
        <f t="shared" si="24"/>
        <v>5</v>
      </c>
      <c r="U239" s="34">
        <f t="shared" si="25"/>
        <v>1178.1500000000001</v>
      </c>
      <c r="V239" s="34">
        <f t="shared" si="26"/>
        <v>1241.1500000000001</v>
      </c>
      <c r="W239" s="36">
        <f t="shared" si="31"/>
        <v>0.2</v>
      </c>
      <c r="X239" s="34">
        <f t="shared" si="27"/>
        <v>992.92000000000007</v>
      </c>
      <c r="Y239" s="34" t="str">
        <f t="shared" si="28"/>
        <v>Amy Ellis</v>
      </c>
      <c r="Z239" s="34" t="str">
        <f t="shared" si="29"/>
        <v>BeforeTime</v>
      </c>
      <c r="AA239" s="34" t="str">
        <f t="shared" si="30"/>
        <v>gmail.com</v>
      </c>
    </row>
    <row r="240" spans="1:27" ht="14.25" customHeight="1" x14ac:dyDescent="0.3">
      <c r="A240" t="s">
        <v>1191</v>
      </c>
      <c r="B240" t="s">
        <v>40</v>
      </c>
      <c r="C240" t="s">
        <v>1192</v>
      </c>
      <c r="D240">
        <v>34</v>
      </c>
      <c r="E240" t="s">
        <v>52</v>
      </c>
      <c r="F240" t="s">
        <v>220</v>
      </c>
      <c r="G240" t="s">
        <v>1193</v>
      </c>
      <c r="H240" t="s">
        <v>1194</v>
      </c>
      <c r="I240" t="s">
        <v>1195</v>
      </c>
      <c r="J240" s="8">
        <v>45595</v>
      </c>
      <c r="K240" t="s">
        <v>1196</v>
      </c>
      <c r="L240" t="s">
        <v>563</v>
      </c>
      <c r="M240">
        <v>133.62</v>
      </c>
      <c r="N240">
        <v>1</v>
      </c>
      <c r="O240" t="s">
        <v>36</v>
      </c>
      <c r="P240">
        <v>1</v>
      </c>
      <c r="Q240">
        <v>57</v>
      </c>
      <c r="R240" s="8">
        <v>45602</v>
      </c>
      <c r="S240" t="s">
        <v>1197</v>
      </c>
      <c r="T240" s="33">
        <f t="shared" si="24"/>
        <v>7</v>
      </c>
      <c r="U240" s="33">
        <f t="shared" si="25"/>
        <v>133.62</v>
      </c>
      <c r="V240" s="33">
        <f t="shared" si="26"/>
        <v>190.62</v>
      </c>
      <c r="W240" s="36">
        <f t="shared" si="31"/>
        <v>0.08</v>
      </c>
      <c r="X240" s="33">
        <f t="shared" si="27"/>
        <v>175.37040000000002</v>
      </c>
      <c r="Y240" s="33" t="str">
        <f t="shared" si="28"/>
        <v>Thomas Owens</v>
      </c>
      <c r="Z240" s="33" t="str">
        <f t="shared" si="29"/>
        <v>Late</v>
      </c>
      <c r="AA240" s="33" t="str">
        <f t="shared" si="30"/>
        <v>outlook.com</v>
      </c>
    </row>
    <row r="241" spans="1:27" ht="14.25" customHeight="1" x14ac:dyDescent="0.3">
      <c r="A241" t="s">
        <v>293</v>
      </c>
      <c r="B241" t="s">
        <v>294</v>
      </c>
      <c r="C241" t="s">
        <v>295</v>
      </c>
      <c r="D241">
        <v>48</v>
      </c>
      <c r="E241" t="s">
        <v>41</v>
      </c>
      <c r="F241" t="s">
        <v>90</v>
      </c>
      <c r="G241" t="s">
        <v>296</v>
      </c>
      <c r="H241" t="s">
        <v>297</v>
      </c>
      <c r="I241" t="s">
        <v>1198</v>
      </c>
      <c r="J241" s="8">
        <v>45616</v>
      </c>
      <c r="K241" t="s">
        <v>1199</v>
      </c>
      <c r="L241" t="s">
        <v>246</v>
      </c>
      <c r="M241">
        <v>282.63</v>
      </c>
      <c r="N241">
        <v>4</v>
      </c>
      <c r="O241" t="s">
        <v>96</v>
      </c>
      <c r="P241">
        <v>1</v>
      </c>
      <c r="Q241">
        <v>60</v>
      </c>
      <c r="R241" s="8">
        <v>45618</v>
      </c>
      <c r="S241" t="s">
        <v>1200</v>
      </c>
      <c r="T241" s="34">
        <f t="shared" si="24"/>
        <v>2</v>
      </c>
      <c r="U241" s="34">
        <f t="shared" si="25"/>
        <v>1130.52</v>
      </c>
      <c r="V241" s="34">
        <f t="shared" si="26"/>
        <v>1190.52</v>
      </c>
      <c r="W241" s="36">
        <f t="shared" si="31"/>
        <v>0.1</v>
      </c>
      <c r="X241" s="34">
        <f t="shared" si="27"/>
        <v>1071.4680000000001</v>
      </c>
      <c r="Y241" s="34" t="str">
        <f t="shared" si="28"/>
        <v>Heather Schneider</v>
      </c>
      <c r="Z241" s="34" t="str">
        <f t="shared" si="29"/>
        <v>Late</v>
      </c>
      <c r="AA241" s="34" t="str">
        <f t="shared" si="30"/>
        <v>outlook.com</v>
      </c>
    </row>
    <row r="242" spans="1:27" ht="14.25" customHeight="1" x14ac:dyDescent="0.3">
      <c r="A242" t="s">
        <v>316</v>
      </c>
      <c r="B242" t="s">
        <v>317</v>
      </c>
      <c r="C242" t="s">
        <v>318</v>
      </c>
      <c r="D242">
        <v>45</v>
      </c>
      <c r="E242" t="s">
        <v>29</v>
      </c>
      <c r="F242" t="s">
        <v>42</v>
      </c>
      <c r="G242" t="s">
        <v>319</v>
      </c>
      <c r="H242" t="s">
        <v>320</v>
      </c>
      <c r="I242" t="s">
        <v>1201</v>
      </c>
      <c r="J242" s="8">
        <v>45271</v>
      </c>
      <c r="K242" t="s">
        <v>1202</v>
      </c>
      <c r="L242" t="s">
        <v>47</v>
      </c>
      <c r="M242">
        <v>166.28</v>
      </c>
      <c r="N242">
        <v>3</v>
      </c>
      <c r="O242" t="s">
        <v>96</v>
      </c>
      <c r="P242">
        <v>6</v>
      </c>
      <c r="Q242">
        <v>59</v>
      </c>
      <c r="R242" s="8">
        <v>45275</v>
      </c>
      <c r="S242" t="s">
        <v>1203</v>
      </c>
      <c r="T242" s="33">
        <f t="shared" si="24"/>
        <v>4</v>
      </c>
      <c r="U242" s="33">
        <f t="shared" si="25"/>
        <v>498.84000000000003</v>
      </c>
      <c r="V242" s="33">
        <f t="shared" si="26"/>
        <v>557.84</v>
      </c>
      <c r="W242" s="36">
        <f t="shared" si="31"/>
        <v>0.1</v>
      </c>
      <c r="X242" s="33">
        <f t="shared" si="27"/>
        <v>502.05600000000004</v>
      </c>
      <c r="Y242" s="33" t="str">
        <f t="shared" si="28"/>
        <v>Jenny Estrada</v>
      </c>
      <c r="Z242" s="33" t="str">
        <f t="shared" si="29"/>
        <v>BeforeTime</v>
      </c>
      <c r="AA242" s="33" t="str">
        <f t="shared" si="30"/>
        <v>yahoo.com</v>
      </c>
    </row>
    <row r="243" spans="1:27" ht="14.25" customHeight="1" x14ac:dyDescent="0.3">
      <c r="A243" t="s">
        <v>776</v>
      </c>
      <c r="B243" t="s">
        <v>777</v>
      </c>
      <c r="C243" t="s">
        <v>778</v>
      </c>
      <c r="D243">
        <v>32</v>
      </c>
      <c r="E243" t="s">
        <v>29</v>
      </c>
      <c r="F243" t="s">
        <v>159</v>
      </c>
      <c r="G243" t="s">
        <v>779</v>
      </c>
      <c r="H243" t="s">
        <v>780</v>
      </c>
      <c r="I243" t="s">
        <v>1204</v>
      </c>
      <c r="J243" s="8">
        <v>45117</v>
      </c>
      <c r="K243" t="s">
        <v>1205</v>
      </c>
      <c r="L243" t="s">
        <v>553</v>
      </c>
      <c r="M243">
        <v>425.59</v>
      </c>
      <c r="N243">
        <v>5</v>
      </c>
      <c r="O243" t="s">
        <v>36</v>
      </c>
      <c r="P243">
        <v>7</v>
      </c>
      <c r="Q243">
        <v>57</v>
      </c>
      <c r="R243" s="8">
        <v>45124</v>
      </c>
      <c r="S243" t="s">
        <v>1206</v>
      </c>
      <c r="T243" s="34">
        <f t="shared" si="24"/>
        <v>7</v>
      </c>
      <c r="U243" s="34">
        <f t="shared" si="25"/>
        <v>2127.9499999999998</v>
      </c>
      <c r="V243" s="34">
        <f t="shared" si="26"/>
        <v>2184.9499999999998</v>
      </c>
      <c r="W243" s="36">
        <f t="shared" si="31"/>
        <v>0.08</v>
      </c>
      <c r="X243" s="34">
        <f t="shared" si="27"/>
        <v>2010.154</v>
      </c>
      <c r="Y243" s="34" t="str">
        <f t="shared" si="28"/>
        <v>Lindsey Byrd</v>
      </c>
      <c r="Z243" s="34" t="str">
        <f t="shared" si="29"/>
        <v>Intime</v>
      </c>
      <c r="AA243" s="34" t="str">
        <f t="shared" si="30"/>
        <v>rediffmail.com</v>
      </c>
    </row>
    <row r="244" spans="1:27" ht="14.25" customHeight="1" x14ac:dyDescent="0.3">
      <c r="A244" t="s">
        <v>483</v>
      </c>
      <c r="B244" t="s">
        <v>484</v>
      </c>
      <c r="C244" t="s">
        <v>130</v>
      </c>
      <c r="D244">
        <v>68</v>
      </c>
      <c r="E244" t="s">
        <v>52</v>
      </c>
      <c r="F244" t="s">
        <v>220</v>
      </c>
      <c r="G244" t="s">
        <v>485</v>
      </c>
      <c r="H244" t="s">
        <v>486</v>
      </c>
      <c r="I244" t="s">
        <v>1207</v>
      </c>
      <c r="J244" s="8">
        <v>45417</v>
      </c>
      <c r="K244" t="s">
        <v>1208</v>
      </c>
      <c r="L244" t="s">
        <v>95</v>
      </c>
      <c r="M244">
        <v>363.64</v>
      </c>
      <c r="N244">
        <v>5</v>
      </c>
      <c r="O244" t="s">
        <v>96</v>
      </c>
      <c r="P244">
        <v>7</v>
      </c>
      <c r="Q244">
        <v>60</v>
      </c>
      <c r="R244" s="8">
        <v>45419</v>
      </c>
      <c r="S244" t="s">
        <v>1209</v>
      </c>
      <c r="T244" s="33">
        <f t="shared" si="24"/>
        <v>2</v>
      </c>
      <c r="U244" s="33">
        <f t="shared" si="25"/>
        <v>1818.1999999999998</v>
      </c>
      <c r="V244" s="33">
        <f t="shared" si="26"/>
        <v>1878.1999999999998</v>
      </c>
      <c r="W244" s="36">
        <f t="shared" si="31"/>
        <v>0.1</v>
      </c>
      <c r="X244" s="33">
        <f t="shared" si="27"/>
        <v>1690.3799999999999</v>
      </c>
      <c r="Y244" s="33" t="str">
        <f t="shared" si="28"/>
        <v>Brittany Stewart</v>
      </c>
      <c r="Z244" s="33" t="str">
        <f t="shared" si="29"/>
        <v>BeforeTime</v>
      </c>
      <c r="AA244" s="33" t="str">
        <f t="shared" si="30"/>
        <v>gmail.com</v>
      </c>
    </row>
    <row r="245" spans="1:27" ht="14.25" customHeight="1" x14ac:dyDescent="0.3">
      <c r="A245" t="s">
        <v>1210</v>
      </c>
      <c r="B245" t="s">
        <v>1211</v>
      </c>
      <c r="C245" t="s">
        <v>1212</v>
      </c>
      <c r="D245">
        <v>50</v>
      </c>
      <c r="E245" t="s">
        <v>52</v>
      </c>
      <c r="F245" t="s">
        <v>168</v>
      </c>
      <c r="G245" t="s">
        <v>1213</v>
      </c>
      <c r="H245" t="s">
        <v>1214</v>
      </c>
      <c r="I245" t="s">
        <v>1215</v>
      </c>
      <c r="J245" s="8">
        <v>45470</v>
      </c>
      <c r="K245" t="s">
        <v>1216</v>
      </c>
      <c r="L245" t="s">
        <v>590</v>
      </c>
      <c r="M245">
        <v>403.03</v>
      </c>
      <c r="N245">
        <v>5</v>
      </c>
      <c r="O245" t="s">
        <v>85</v>
      </c>
      <c r="P245">
        <v>2</v>
      </c>
      <c r="Q245">
        <v>52</v>
      </c>
      <c r="R245" s="8">
        <v>45475</v>
      </c>
      <c r="S245" t="s">
        <v>1217</v>
      </c>
      <c r="T245" s="34">
        <f t="shared" si="24"/>
        <v>5</v>
      </c>
      <c r="U245" s="34">
        <f t="shared" si="25"/>
        <v>2015.1499999999999</v>
      </c>
      <c r="V245" s="34">
        <f t="shared" si="26"/>
        <v>2067.1499999999996</v>
      </c>
      <c r="W245" s="36">
        <f t="shared" si="31"/>
        <v>0.2</v>
      </c>
      <c r="X245" s="34">
        <f t="shared" si="27"/>
        <v>1653.7199999999998</v>
      </c>
      <c r="Y245" s="34" t="str">
        <f t="shared" si="28"/>
        <v>Brendan Kelly</v>
      </c>
      <c r="Z245" s="34" t="str">
        <f t="shared" si="29"/>
        <v>Late</v>
      </c>
      <c r="AA245" s="34" t="str">
        <f t="shared" si="30"/>
        <v>rediffmail.com</v>
      </c>
    </row>
    <row r="246" spans="1:27" ht="14.25" customHeight="1" x14ac:dyDescent="0.3">
      <c r="A246" t="s">
        <v>520</v>
      </c>
      <c r="B246" t="s">
        <v>521</v>
      </c>
      <c r="C246" t="s">
        <v>522</v>
      </c>
      <c r="D246">
        <v>42</v>
      </c>
      <c r="E246" t="s">
        <v>52</v>
      </c>
      <c r="F246" t="s">
        <v>76</v>
      </c>
      <c r="G246" t="s">
        <v>523</v>
      </c>
      <c r="H246" t="s">
        <v>524</v>
      </c>
      <c r="I246" t="s">
        <v>1218</v>
      </c>
      <c r="J246" s="8">
        <v>44968</v>
      </c>
      <c r="K246" t="s">
        <v>1219</v>
      </c>
      <c r="L246" t="s">
        <v>430</v>
      </c>
      <c r="M246">
        <v>369.03</v>
      </c>
      <c r="N246">
        <v>1</v>
      </c>
      <c r="O246" t="s">
        <v>85</v>
      </c>
      <c r="P246">
        <v>6</v>
      </c>
      <c r="Q246">
        <v>38</v>
      </c>
      <c r="R246" s="8">
        <v>44974</v>
      </c>
      <c r="S246" t="s">
        <v>1220</v>
      </c>
      <c r="T246" s="33">
        <f t="shared" si="24"/>
        <v>6</v>
      </c>
      <c r="U246" s="33">
        <f t="shared" si="25"/>
        <v>369.03</v>
      </c>
      <c r="V246" s="33">
        <f t="shared" si="26"/>
        <v>407.03</v>
      </c>
      <c r="W246" s="36">
        <f t="shared" si="31"/>
        <v>0.2</v>
      </c>
      <c r="X246" s="33">
        <f t="shared" si="27"/>
        <v>325.62400000000002</v>
      </c>
      <c r="Y246" s="33" t="str">
        <f t="shared" si="28"/>
        <v>Katherine Weber</v>
      </c>
      <c r="Z246" s="33" t="str">
        <f t="shared" si="29"/>
        <v>Intime</v>
      </c>
      <c r="AA246" s="33" t="str">
        <f t="shared" si="30"/>
        <v>outlook.com</v>
      </c>
    </row>
    <row r="247" spans="1:27" ht="14.25" customHeight="1" x14ac:dyDescent="0.3">
      <c r="A247" t="s">
        <v>1221</v>
      </c>
      <c r="B247" t="s">
        <v>1222</v>
      </c>
      <c r="C247" t="s">
        <v>1223</v>
      </c>
      <c r="D247">
        <v>19</v>
      </c>
      <c r="E247" t="s">
        <v>41</v>
      </c>
      <c r="F247" t="s">
        <v>76</v>
      </c>
      <c r="G247" t="s">
        <v>1224</v>
      </c>
      <c r="H247" t="s">
        <v>1225</v>
      </c>
      <c r="I247" t="s">
        <v>1226</v>
      </c>
      <c r="J247" s="8">
        <v>45453</v>
      </c>
      <c r="K247" t="s">
        <v>1227</v>
      </c>
      <c r="L247" t="s">
        <v>495</v>
      </c>
      <c r="M247">
        <v>421.7</v>
      </c>
      <c r="N247">
        <v>5</v>
      </c>
      <c r="O247" t="s">
        <v>96</v>
      </c>
      <c r="P247">
        <v>6</v>
      </c>
      <c r="Q247">
        <v>61</v>
      </c>
      <c r="R247" s="8">
        <v>45457</v>
      </c>
      <c r="S247" t="s">
        <v>1228</v>
      </c>
      <c r="T247" s="34">
        <f t="shared" si="24"/>
        <v>4</v>
      </c>
      <c r="U247" s="34">
        <f t="shared" si="25"/>
        <v>2108.5</v>
      </c>
      <c r="V247" s="34">
        <f t="shared" si="26"/>
        <v>2169.5</v>
      </c>
      <c r="W247" s="36">
        <f t="shared" si="31"/>
        <v>0.1</v>
      </c>
      <c r="X247" s="34">
        <f t="shared" si="27"/>
        <v>1952.55</v>
      </c>
      <c r="Y247" s="34" t="str">
        <f t="shared" si="28"/>
        <v>Jessica Ruiz</v>
      </c>
      <c r="Z247" s="34" t="str">
        <f t="shared" si="29"/>
        <v>BeforeTime</v>
      </c>
      <c r="AA247" s="34" t="str">
        <f t="shared" si="30"/>
        <v>rediffmail.com</v>
      </c>
    </row>
    <row r="248" spans="1:27" ht="14.25" customHeight="1" x14ac:dyDescent="0.3">
      <c r="A248" t="s">
        <v>1079</v>
      </c>
      <c r="B248" t="s">
        <v>218</v>
      </c>
      <c r="C248" t="s">
        <v>1080</v>
      </c>
      <c r="D248">
        <v>55</v>
      </c>
      <c r="E248" t="s">
        <v>41</v>
      </c>
      <c r="F248" t="s">
        <v>159</v>
      </c>
      <c r="G248" t="s">
        <v>1081</v>
      </c>
      <c r="H248" t="s">
        <v>1082</v>
      </c>
      <c r="I248" t="s">
        <v>1229</v>
      </c>
      <c r="J248" s="8">
        <v>45608</v>
      </c>
      <c r="K248" t="s">
        <v>1230</v>
      </c>
      <c r="L248" t="s">
        <v>748</v>
      </c>
      <c r="M248">
        <v>381.73</v>
      </c>
      <c r="N248">
        <v>4</v>
      </c>
      <c r="O248" t="s">
        <v>36</v>
      </c>
      <c r="P248">
        <v>2</v>
      </c>
      <c r="Q248">
        <v>58</v>
      </c>
      <c r="R248" s="8">
        <v>45613</v>
      </c>
      <c r="S248" t="s">
        <v>1231</v>
      </c>
      <c r="T248" s="33">
        <f t="shared" si="24"/>
        <v>5</v>
      </c>
      <c r="U248" s="33">
        <f t="shared" si="25"/>
        <v>1526.92</v>
      </c>
      <c r="V248" s="33">
        <f t="shared" si="26"/>
        <v>1584.92</v>
      </c>
      <c r="W248" s="36">
        <f t="shared" si="31"/>
        <v>0.08</v>
      </c>
      <c r="X248" s="33">
        <f t="shared" si="27"/>
        <v>1458.1264000000001</v>
      </c>
      <c r="Y248" s="33" t="str">
        <f t="shared" si="28"/>
        <v>Mark Summers</v>
      </c>
      <c r="Z248" s="33" t="str">
        <f t="shared" si="29"/>
        <v>Late</v>
      </c>
      <c r="AA248" s="33" t="str">
        <f t="shared" si="30"/>
        <v>outlook.com</v>
      </c>
    </row>
    <row r="249" spans="1:27" ht="14.25" customHeight="1" x14ac:dyDescent="0.3">
      <c r="A249" t="s">
        <v>724</v>
      </c>
      <c r="B249" t="s">
        <v>725</v>
      </c>
      <c r="C249" t="s">
        <v>167</v>
      </c>
      <c r="D249">
        <v>70</v>
      </c>
      <c r="E249" t="s">
        <v>41</v>
      </c>
      <c r="F249" t="s">
        <v>90</v>
      </c>
      <c r="G249" t="s">
        <v>726</v>
      </c>
      <c r="H249" t="s">
        <v>727</v>
      </c>
      <c r="I249" t="s">
        <v>1232</v>
      </c>
      <c r="J249" s="8">
        <v>45386</v>
      </c>
      <c r="K249" t="s">
        <v>1233</v>
      </c>
      <c r="L249" t="s">
        <v>135</v>
      </c>
      <c r="M249">
        <v>175.93</v>
      </c>
      <c r="N249">
        <v>2</v>
      </c>
      <c r="O249" t="s">
        <v>96</v>
      </c>
      <c r="P249">
        <v>7</v>
      </c>
      <c r="Q249">
        <v>61</v>
      </c>
      <c r="R249" s="8">
        <v>45391</v>
      </c>
      <c r="S249" t="s">
        <v>1234</v>
      </c>
      <c r="T249" s="34">
        <f t="shared" si="24"/>
        <v>5</v>
      </c>
      <c r="U249" s="34">
        <f t="shared" si="25"/>
        <v>351.86</v>
      </c>
      <c r="V249" s="34">
        <f t="shared" si="26"/>
        <v>412.86</v>
      </c>
      <c r="W249" s="36">
        <f t="shared" si="31"/>
        <v>0.1</v>
      </c>
      <c r="X249" s="34">
        <f t="shared" si="27"/>
        <v>371.57400000000001</v>
      </c>
      <c r="Y249" s="34" t="str">
        <f t="shared" si="28"/>
        <v>Lisa Miller</v>
      </c>
      <c r="Z249" s="34" t="str">
        <f t="shared" si="29"/>
        <v>BeforeTime</v>
      </c>
      <c r="AA249" s="34" t="str">
        <f t="shared" si="30"/>
        <v>gmail.com</v>
      </c>
    </row>
    <row r="250" spans="1:27" ht="14.25" customHeight="1" x14ac:dyDescent="0.3">
      <c r="A250" t="s">
        <v>412</v>
      </c>
      <c r="B250" t="s">
        <v>228</v>
      </c>
      <c r="C250" t="s">
        <v>413</v>
      </c>
      <c r="D250">
        <v>28</v>
      </c>
      <c r="E250" t="s">
        <v>52</v>
      </c>
      <c r="F250" t="s">
        <v>140</v>
      </c>
      <c r="G250" t="s">
        <v>414</v>
      </c>
      <c r="H250" t="s">
        <v>415</v>
      </c>
      <c r="I250" t="s">
        <v>1235</v>
      </c>
      <c r="J250" s="8">
        <v>45322</v>
      </c>
      <c r="K250" t="s">
        <v>1236</v>
      </c>
      <c r="L250" t="s">
        <v>748</v>
      </c>
      <c r="M250">
        <v>381.73</v>
      </c>
      <c r="N250">
        <v>2</v>
      </c>
      <c r="O250" t="s">
        <v>58</v>
      </c>
      <c r="P250">
        <v>2</v>
      </c>
      <c r="Q250">
        <v>68</v>
      </c>
      <c r="R250" s="8">
        <v>45329</v>
      </c>
      <c r="S250" t="s">
        <v>1237</v>
      </c>
      <c r="T250" s="33">
        <f t="shared" si="24"/>
        <v>7</v>
      </c>
      <c r="U250" s="33">
        <f t="shared" si="25"/>
        <v>763.46</v>
      </c>
      <c r="V250" s="33">
        <f t="shared" si="26"/>
        <v>831.46</v>
      </c>
      <c r="W250" s="36">
        <f t="shared" si="31"/>
        <v>0.15</v>
      </c>
      <c r="X250" s="33">
        <f t="shared" si="27"/>
        <v>706.74099999999999</v>
      </c>
      <c r="Y250" s="33" t="str">
        <f t="shared" si="28"/>
        <v>John Ramirez</v>
      </c>
      <c r="Z250" s="33" t="str">
        <f t="shared" si="29"/>
        <v>Late</v>
      </c>
      <c r="AA250" s="33" t="str">
        <f t="shared" si="30"/>
        <v>outlook.com</v>
      </c>
    </row>
    <row r="251" spans="1:27" ht="14.25" customHeight="1" x14ac:dyDescent="0.3">
      <c r="A251" t="s">
        <v>1238</v>
      </c>
      <c r="B251" t="s">
        <v>1239</v>
      </c>
      <c r="C251" t="s">
        <v>1240</v>
      </c>
      <c r="D251">
        <v>55</v>
      </c>
      <c r="E251" t="s">
        <v>41</v>
      </c>
      <c r="F251" t="s">
        <v>159</v>
      </c>
      <c r="G251" t="s">
        <v>1241</v>
      </c>
      <c r="H251" t="s">
        <v>1242</v>
      </c>
      <c r="I251" t="s">
        <v>1243</v>
      </c>
      <c r="J251" s="8">
        <v>45470</v>
      </c>
      <c r="K251" t="s">
        <v>1244</v>
      </c>
      <c r="L251" t="s">
        <v>518</v>
      </c>
      <c r="M251">
        <v>441.03</v>
      </c>
      <c r="N251">
        <v>3</v>
      </c>
      <c r="O251" t="s">
        <v>63</v>
      </c>
      <c r="P251">
        <v>4</v>
      </c>
      <c r="Q251">
        <v>47</v>
      </c>
      <c r="R251" s="8">
        <v>45473</v>
      </c>
      <c r="S251" t="s">
        <v>1245</v>
      </c>
      <c r="T251" s="34">
        <f t="shared" si="24"/>
        <v>3</v>
      </c>
      <c r="U251" s="34">
        <f t="shared" si="25"/>
        <v>1323.09</v>
      </c>
      <c r="V251" s="34">
        <f t="shared" si="26"/>
        <v>1370.09</v>
      </c>
      <c r="W251" s="36">
        <f t="shared" si="31"/>
        <v>0</v>
      </c>
      <c r="X251" s="34">
        <f t="shared" si="27"/>
        <v>1370.09</v>
      </c>
      <c r="Y251" s="34" t="str">
        <f t="shared" si="28"/>
        <v>Hannah Gutierrez</v>
      </c>
      <c r="Z251" s="34" t="str">
        <f t="shared" si="29"/>
        <v>BeforeTime</v>
      </c>
      <c r="AA251" s="34" t="str">
        <f t="shared" si="30"/>
        <v>yahoo.com</v>
      </c>
    </row>
    <row r="252" spans="1:27" ht="14.25" customHeight="1" x14ac:dyDescent="0.3">
      <c r="A252" t="s">
        <v>1246</v>
      </c>
      <c r="B252" t="s">
        <v>66</v>
      </c>
      <c r="C252" t="s">
        <v>1247</v>
      </c>
      <c r="D252">
        <v>40</v>
      </c>
      <c r="E252" t="s">
        <v>29</v>
      </c>
      <c r="F252" t="s">
        <v>76</v>
      </c>
      <c r="G252" t="s">
        <v>1248</v>
      </c>
      <c r="H252" t="s">
        <v>1249</v>
      </c>
      <c r="I252" t="s">
        <v>1250</v>
      </c>
      <c r="J252" s="8">
        <v>45531</v>
      </c>
      <c r="K252" t="s">
        <v>1251</v>
      </c>
      <c r="L252" t="s">
        <v>514</v>
      </c>
      <c r="M252">
        <v>136.30000000000001</v>
      </c>
      <c r="N252">
        <v>2</v>
      </c>
      <c r="O252" t="s">
        <v>36</v>
      </c>
      <c r="P252">
        <v>6</v>
      </c>
      <c r="Q252">
        <v>58</v>
      </c>
      <c r="R252" s="8">
        <v>45533</v>
      </c>
      <c r="S252" t="s">
        <v>1252</v>
      </c>
      <c r="T252" s="33">
        <f t="shared" si="24"/>
        <v>2</v>
      </c>
      <c r="U252" s="33">
        <f t="shared" si="25"/>
        <v>272.60000000000002</v>
      </c>
      <c r="V252" s="33">
        <f t="shared" si="26"/>
        <v>330.6</v>
      </c>
      <c r="W252" s="36">
        <f t="shared" si="31"/>
        <v>0.08</v>
      </c>
      <c r="X252" s="33">
        <f t="shared" si="27"/>
        <v>304.15200000000004</v>
      </c>
      <c r="Y252" s="33" t="str">
        <f t="shared" si="28"/>
        <v>Angela Casey</v>
      </c>
      <c r="Z252" s="33" t="str">
        <f t="shared" si="29"/>
        <v>BeforeTime</v>
      </c>
      <c r="AA252" s="33" t="str">
        <f t="shared" si="30"/>
        <v>gmail.com</v>
      </c>
    </row>
    <row r="253" spans="1:27" ht="14.25" customHeight="1" x14ac:dyDescent="0.3">
      <c r="A253" t="s">
        <v>546</v>
      </c>
      <c r="B253" t="s">
        <v>547</v>
      </c>
      <c r="C253" t="s">
        <v>548</v>
      </c>
      <c r="D253">
        <v>33</v>
      </c>
      <c r="E253" t="s">
        <v>52</v>
      </c>
      <c r="F253" t="s">
        <v>168</v>
      </c>
      <c r="G253" t="s">
        <v>549</v>
      </c>
      <c r="H253" t="s">
        <v>550</v>
      </c>
      <c r="I253" t="s">
        <v>1253</v>
      </c>
      <c r="J253" s="8">
        <v>45383</v>
      </c>
      <c r="K253" t="s">
        <v>1254</v>
      </c>
      <c r="L253" t="s">
        <v>590</v>
      </c>
      <c r="M253">
        <v>403.03</v>
      </c>
      <c r="N253">
        <v>3</v>
      </c>
      <c r="O253" t="s">
        <v>58</v>
      </c>
      <c r="P253">
        <v>5</v>
      </c>
      <c r="Q253">
        <v>44</v>
      </c>
      <c r="R253" s="8">
        <v>45384</v>
      </c>
      <c r="S253" t="s">
        <v>1255</v>
      </c>
      <c r="T253" s="34">
        <f t="shared" si="24"/>
        <v>1</v>
      </c>
      <c r="U253" s="34">
        <f t="shared" si="25"/>
        <v>1209.0899999999999</v>
      </c>
      <c r="V253" s="34">
        <f t="shared" si="26"/>
        <v>1253.0899999999999</v>
      </c>
      <c r="W253" s="36">
        <f t="shared" si="31"/>
        <v>0.15</v>
      </c>
      <c r="X253" s="34">
        <f t="shared" si="27"/>
        <v>1065.1264999999999</v>
      </c>
      <c r="Y253" s="34" t="str">
        <f t="shared" si="28"/>
        <v>Jodi Whitney</v>
      </c>
      <c r="Z253" s="34" t="str">
        <f t="shared" si="29"/>
        <v>BeforeTime</v>
      </c>
      <c r="AA253" s="34" t="str">
        <f t="shared" si="30"/>
        <v>yahoo.com</v>
      </c>
    </row>
    <row r="254" spans="1:27" ht="14.25" customHeight="1" x14ac:dyDescent="0.3">
      <c r="A254" t="s">
        <v>986</v>
      </c>
      <c r="B254" t="s">
        <v>987</v>
      </c>
      <c r="C254" t="s">
        <v>988</v>
      </c>
      <c r="D254">
        <v>49</v>
      </c>
      <c r="E254" t="s">
        <v>29</v>
      </c>
      <c r="F254" t="s">
        <v>42</v>
      </c>
      <c r="G254" t="s">
        <v>989</v>
      </c>
      <c r="H254" t="s">
        <v>990</v>
      </c>
      <c r="I254" t="s">
        <v>1256</v>
      </c>
      <c r="J254" s="8">
        <v>45233</v>
      </c>
      <c r="K254" t="s">
        <v>1257</v>
      </c>
      <c r="L254" t="s">
        <v>748</v>
      </c>
      <c r="M254">
        <v>381.73</v>
      </c>
      <c r="N254">
        <v>5</v>
      </c>
      <c r="O254" t="s">
        <v>36</v>
      </c>
      <c r="P254">
        <v>7</v>
      </c>
      <c r="Q254">
        <v>45</v>
      </c>
      <c r="R254" s="8">
        <v>45236</v>
      </c>
      <c r="S254" t="s">
        <v>1258</v>
      </c>
      <c r="T254" s="33">
        <f t="shared" si="24"/>
        <v>3</v>
      </c>
      <c r="U254" s="33">
        <f t="shared" si="25"/>
        <v>1908.65</v>
      </c>
      <c r="V254" s="33">
        <f t="shared" si="26"/>
        <v>1953.65</v>
      </c>
      <c r="W254" s="36">
        <f t="shared" si="31"/>
        <v>0.08</v>
      </c>
      <c r="X254" s="33">
        <f t="shared" si="27"/>
        <v>1797.3580000000002</v>
      </c>
      <c r="Y254" s="33" t="str">
        <f t="shared" si="28"/>
        <v>Natasha Michael</v>
      </c>
      <c r="Z254" s="33" t="str">
        <f t="shared" si="29"/>
        <v>BeforeTime</v>
      </c>
      <c r="AA254" s="33" t="str">
        <f t="shared" si="30"/>
        <v>gmail.com</v>
      </c>
    </row>
    <row r="255" spans="1:27" ht="14.25" customHeight="1" x14ac:dyDescent="0.3">
      <c r="A255" t="s">
        <v>925</v>
      </c>
      <c r="B255" t="s">
        <v>926</v>
      </c>
      <c r="C255" t="s">
        <v>927</v>
      </c>
      <c r="D255">
        <v>24</v>
      </c>
      <c r="E255" t="s">
        <v>52</v>
      </c>
      <c r="F255" t="s">
        <v>220</v>
      </c>
      <c r="G255" t="s">
        <v>928</v>
      </c>
      <c r="H255" t="s">
        <v>929</v>
      </c>
      <c r="I255" t="s">
        <v>1259</v>
      </c>
      <c r="J255" s="8">
        <v>45668</v>
      </c>
      <c r="K255" t="s">
        <v>1260</v>
      </c>
      <c r="L255" t="s">
        <v>748</v>
      </c>
      <c r="M255">
        <v>381.73</v>
      </c>
      <c r="N255">
        <v>1</v>
      </c>
      <c r="O255" t="s">
        <v>36</v>
      </c>
      <c r="P255">
        <v>3</v>
      </c>
      <c r="Q255">
        <v>36</v>
      </c>
      <c r="R255" s="8">
        <v>45675</v>
      </c>
      <c r="S255" t="s">
        <v>1261</v>
      </c>
      <c r="T255" s="34">
        <f t="shared" si="24"/>
        <v>7</v>
      </c>
      <c r="U255" s="34">
        <f t="shared" si="25"/>
        <v>381.73</v>
      </c>
      <c r="V255" s="34">
        <f t="shared" si="26"/>
        <v>417.73</v>
      </c>
      <c r="W255" s="36">
        <f t="shared" si="31"/>
        <v>0.08</v>
      </c>
      <c r="X255" s="34">
        <f t="shared" si="27"/>
        <v>384.31160000000006</v>
      </c>
      <c r="Y255" s="34" t="str">
        <f t="shared" si="28"/>
        <v>Rachael Robinson</v>
      </c>
      <c r="Z255" s="34" t="str">
        <f t="shared" si="29"/>
        <v>Late</v>
      </c>
      <c r="AA255" s="34" t="str">
        <f t="shared" si="30"/>
        <v>rediffmail.com</v>
      </c>
    </row>
    <row r="256" spans="1:27" ht="14.25" customHeight="1" x14ac:dyDescent="0.3">
      <c r="A256" t="s">
        <v>458</v>
      </c>
      <c r="B256" t="s">
        <v>459</v>
      </c>
      <c r="C256" t="s">
        <v>460</v>
      </c>
      <c r="D256">
        <v>63</v>
      </c>
      <c r="E256" t="s">
        <v>29</v>
      </c>
      <c r="F256" t="s">
        <v>140</v>
      </c>
      <c r="G256" t="s">
        <v>461</v>
      </c>
      <c r="H256" t="s">
        <v>462</v>
      </c>
      <c r="I256" t="s">
        <v>1262</v>
      </c>
      <c r="J256" s="8">
        <v>45457</v>
      </c>
      <c r="K256" t="s">
        <v>1263</v>
      </c>
      <c r="L256" t="s">
        <v>553</v>
      </c>
      <c r="M256">
        <v>425.59</v>
      </c>
      <c r="N256">
        <v>1</v>
      </c>
      <c r="O256" t="s">
        <v>85</v>
      </c>
      <c r="P256">
        <v>7</v>
      </c>
      <c r="Q256">
        <v>40</v>
      </c>
      <c r="R256" s="8">
        <v>45460</v>
      </c>
      <c r="S256" t="s">
        <v>1264</v>
      </c>
      <c r="T256" s="33">
        <f t="shared" si="24"/>
        <v>3</v>
      </c>
      <c r="U256" s="33">
        <f t="shared" si="25"/>
        <v>425.59</v>
      </c>
      <c r="V256" s="33">
        <f t="shared" si="26"/>
        <v>465.59</v>
      </c>
      <c r="W256" s="36">
        <f t="shared" si="31"/>
        <v>0.2</v>
      </c>
      <c r="X256" s="33">
        <f t="shared" si="27"/>
        <v>372.47199999999998</v>
      </c>
      <c r="Y256" s="33" t="str">
        <f t="shared" si="28"/>
        <v>Rebecca Figueroa</v>
      </c>
      <c r="Z256" s="33" t="str">
        <f t="shared" si="29"/>
        <v>BeforeTime</v>
      </c>
      <c r="AA256" s="33" t="str">
        <f t="shared" si="30"/>
        <v>outlook.com</v>
      </c>
    </row>
    <row r="257" spans="1:27" ht="14.25" customHeight="1" x14ac:dyDescent="0.3">
      <c r="A257" t="s">
        <v>272</v>
      </c>
      <c r="B257" t="s">
        <v>273</v>
      </c>
      <c r="C257" t="s">
        <v>274</v>
      </c>
      <c r="D257">
        <v>44</v>
      </c>
      <c r="E257" t="s">
        <v>29</v>
      </c>
      <c r="F257" t="s">
        <v>220</v>
      </c>
      <c r="G257" t="s">
        <v>275</v>
      </c>
      <c r="H257" t="s">
        <v>276</v>
      </c>
      <c r="I257" t="s">
        <v>1265</v>
      </c>
      <c r="J257" s="8">
        <v>45659</v>
      </c>
      <c r="K257" t="s">
        <v>1266</v>
      </c>
      <c r="L257" t="s">
        <v>323</v>
      </c>
      <c r="M257">
        <v>481.48</v>
      </c>
      <c r="N257">
        <v>4</v>
      </c>
      <c r="O257" t="s">
        <v>58</v>
      </c>
      <c r="P257">
        <v>4</v>
      </c>
      <c r="Q257">
        <v>67</v>
      </c>
      <c r="R257" s="8">
        <v>45665</v>
      </c>
      <c r="S257" t="s">
        <v>1267</v>
      </c>
      <c r="T257" s="34">
        <f t="shared" si="24"/>
        <v>6</v>
      </c>
      <c r="U257" s="34">
        <f t="shared" si="25"/>
        <v>1925.92</v>
      </c>
      <c r="V257" s="34">
        <f t="shared" si="26"/>
        <v>1992.92</v>
      </c>
      <c r="W257" s="36">
        <f t="shared" si="31"/>
        <v>0.15</v>
      </c>
      <c r="X257" s="34">
        <f t="shared" si="27"/>
        <v>1693.982</v>
      </c>
      <c r="Y257" s="34" t="str">
        <f t="shared" si="28"/>
        <v>Lauren Long</v>
      </c>
      <c r="Z257" s="34" t="str">
        <f t="shared" si="29"/>
        <v>Late</v>
      </c>
      <c r="AA257" s="34" t="str">
        <f t="shared" si="30"/>
        <v>gmail.com</v>
      </c>
    </row>
    <row r="258" spans="1:27" ht="14.25" customHeight="1" x14ac:dyDescent="0.3">
      <c r="A258" t="s">
        <v>156</v>
      </c>
      <c r="B258" t="s">
        <v>157</v>
      </c>
      <c r="C258" t="s">
        <v>158</v>
      </c>
      <c r="D258">
        <v>24</v>
      </c>
      <c r="E258" t="s">
        <v>29</v>
      </c>
      <c r="F258" t="s">
        <v>159</v>
      </c>
      <c r="G258" t="s">
        <v>160</v>
      </c>
      <c r="H258" t="s">
        <v>161</v>
      </c>
      <c r="I258" t="s">
        <v>1268</v>
      </c>
      <c r="J258" s="8">
        <v>45512</v>
      </c>
      <c r="K258" t="s">
        <v>1269</v>
      </c>
      <c r="L258" t="s">
        <v>495</v>
      </c>
      <c r="M258">
        <v>421.7</v>
      </c>
      <c r="N258">
        <v>2</v>
      </c>
      <c r="O258" t="s">
        <v>96</v>
      </c>
      <c r="P258">
        <v>2</v>
      </c>
      <c r="Q258">
        <v>54</v>
      </c>
      <c r="R258" s="8">
        <v>45514</v>
      </c>
      <c r="S258" t="s">
        <v>1270</v>
      </c>
      <c r="T258" s="33">
        <f t="shared" ref="T258:T321" si="32">R258-J258</f>
        <v>2</v>
      </c>
      <c r="U258" s="33">
        <f t="shared" ref="U258:U321" si="33">M258*N258</f>
        <v>843.4</v>
      </c>
      <c r="V258" s="33">
        <f t="shared" ref="V258:V321" si="34">U258+Q258</f>
        <v>897.4</v>
      </c>
      <c r="W258" s="36">
        <f t="shared" si="31"/>
        <v>0.1</v>
      </c>
      <c r="X258" s="33">
        <f t="shared" ref="X258:X321" si="35">V258*(1-W258)</f>
        <v>807.66</v>
      </c>
      <c r="Y258" s="33" t="str">
        <f t="shared" ref="Y258:Y321" si="36">B258&amp;" "&amp;C258</f>
        <v>Joshua Campbell</v>
      </c>
      <c r="Z258" s="33" t="str">
        <f t="shared" ref="Z258:Z321" si="37">IF(T258&gt;P258,"Late",IF(T258&lt;P258,"BeforeTime","Intime"))</f>
        <v>Intime</v>
      </c>
      <c r="AA258" s="33" t="str">
        <f t="shared" ref="AA258:AA321" si="38">MID(G258,FIND("@",G258)+1,LEN(G258)-FIND("@",G258))</f>
        <v>gmail.com</v>
      </c>
    </row>
    <row r="259" spans="1:27" ht="14.25" customHeight="1" x14ac:dyDescent="0.3">
      <c r="A259" t="s">
        <v>301</v>
      </c>
      <c r="B259" t="s">
        <v>302</v>
      </c>
      <c r="C259" t="s">
        <v>303</v>
      </c>
      <c r="D259">
        <v>26</v>
      </c>
      <c r="E259" t="s">
        <v>52</v>
      </c>
      <c r="F259" t="s">
        <v>168</v>
      </c>
      <c r="G259" t="s">
        <v>304</v>
      </c>
      <c r="H259" t="s">
        <v>305</v>
      </c>
      <c r="I259" t="s">
        <v>1271</v>
      </c>
      <c r="J259" s="8">
        <v>45393</v>
      </c>
      <c r="K259" t="s">
        <v>1272</v>
      </c>
      <c r="L259" t="s">
        <v>738</v>
      </c>
      <c r="M259">
        <v>110.95</v>
      </c>
      <c r="N259">
        <v>3</v>
      </c>
      <c r="O259" t="s">
        <v>63</v>
      </c>
      <c r="P259">
        <v>5</v>
      </c>
      <c r="Q259">
        <v>47</v>
      </c>
      <c r="R259" s="8">
        <v>45399</v>
      </c>
      <c r="S259" t="s">
        <v>1273</v>
      </c>
      <c r="T259" s="34">
        <f t="shared" si="32"/>
        <v>6</v>
      </c>
      <c r="U259" s="34">
        <f t="shared" si="33"/>
        <v>332.85</v>
      </c>
      <c r="V259" s="34">
        <f t="shared" si="34"/>
        <v>379.85</v>
      </c>
      <c r="W259" s="36">
        <f t="shared" ref="W259:W322" si="39">IF(O259="FLAT8",0.08,IF(O259="FLAT10",0.1,IF(O259="FLAT15",0.15,IF(O259="FLAT20",0.2,0))))</f>
        <v>0</v>
      </c>
      <c r="X259" s="34">
        <f t="shared" si="35"/>
        <v>379.85</v>
      </c>
      <c r="Y259" s="34" t="str">
        <f t="shared" si="36"/>
        <v>Valerie Carr</v>
      </c>
      <c r="Z259" s="34" t="str">
        <f t="shared" si="37"/>
        <v>Late</v>
      </c>
      <c r="AA259" s="34" t="str">
        <f t="shared" si="38"/>
        <v>rediffmail.com</v>
      </c>
    </row>
    <row r="260" spans="1:27" ht="14.25" customHeight="1" x14ac:dyDescent="0.3">
      <c r="A260" t="s">
        <v>507</v>
      </c>
      <c r="B260" t="s">
        <v>508</v>
      </c>
      <c r="C260" t="s">
        <v>509</v>
      </c>
      <c r="D260">
        <v>64</v>
      </c>
      <c r="E260" t="s">
        <v>29</v>
      </c>
      <c r="F260" t="s">
        <v>30</v>
      </c>
      <c r="G260" t="s">
        <v>510</v>
      </c>
      <c r="H260" t="s">
        <v>511</v>
      </c>
      <c r="I260" t="s">
        <v>1274</v>
      </c>
      <c r="J260" s="8">
        <v>45188</v>
      </c>
      <c r="K260" t="s">
        <v>1275</v>
      </c>
      <c r="L260" t="s">
        <v>246</v>
      </c>
      <c r="M260">
        <v>282.63</v>
      </c>
      <c r="N260">
        <v>4</v>
      </c>
      <c r="O260" t="s">
        <v>96</v>
      </c>
      <c r="P260">
        <v>3</v>
      </c>
      <c r="Q260">
        <v>52</v>
      </c>
      <c r="R260" s="8">
        <v>45191</v>
      </c>
      <c r="S260" t="s">
        <v>1276</v>
      </c>
      <c r="T260" s="33">
        <f t="shared" si="32"/>
        <v>3</v>
      </c>
      <c r="U260" s="33">
        <f t="shared" si="33"/>
        <v>1130.52</v>
      </c>
      <c r="V260" s="33">
        <f t="shared" si="34"/>
        <v>1182.52</v>
      </c>
      <c r="W260" s="36">
        <f t="shared" si="39"/>
        <v>0.1</v>
      </c>
      <c r="X260" s="33">
        <f t="shared" si="35"/>
        <v>1064.268</v>
      </c>
      <c r="Y260" s="33" t="str">
        <f t="shared" si="36"/>
        <v>Sarah Butler</v>
      </c>
      <c r="Z260" s="33" t="str">
        <f t="shared" si="37"/>
        <v>Intime</v>
      </c>
      <c r="AA260" s="33" t="str">
        <f t="shared" si="38"/>
        <v>rediffmail.com</v>
      </c>
    </row>
    <row r="261" spans="1:27" ht="14.25" customHeight="1" x14ac:dyDescent="0.3">
      <c r="A261" t="s">
        <v>847</v>
      </c>
      <c r="B261" t="s">
        <v>848</v>
      </c>
      <c r="C261" t="s">
        <v>387</v>
      </c>
      <c r="D261">
        <v>37</v>
      </c>
      <c r="E261" t="s">
        <v>52</v>
      </c>
      <c r="F261" t="s">
        <v>220</v>
      </c>
      <c r="G261" t="s">
        <v>849</v>
      </c>
      <c r="H261" t="s">
        <v>850</v>
      </c>
      <c r="I261" t="s">
        <v>1277</v>
      </c>
      <c r="J261" s="8">
        <v>45335</v>
      </c>
      <c r="K261" t="s">
        <v>1278</v>
      </c>
      <c r="L261" t="s">
        <v>291</v>
      </c>
      <c r="M261">
        <v>158.53</v>
      </c>
      <c r="N261">
        <v>3</v>
      </c>
      <c r="O261" t="s">
        <v>96</v>
      </c>
      <c r="P261">
        <v>3</v>
      </c>
      <c r="Q261">
        <v>63</v>
      </c>
      <c r="R261" s="8">
        <v>45336</v>
      </c>
      <c r="S261" t="s">
        <v>1279</v>
      </c>
      <c r="T261" s="34">
        <f t="shared" si="32"/>
        <v>1</v>
      </c>
      <c r="U261" s="34">
        <f t="shared" si="33"/>
        <v>475.59000000000003</v>
      </c>
      <c r="V261" s="34">
        <f t="shared" si="34"/>
        <v>538.59</v>
      </c>
      <c r="W261" s="36">
        <f t="shared" si="39"/>
        <v>0.1</v>
      </c>
      <c r="X261" s="34">
        <f t="shared" si="35"/>
        <v>484.73100000000005</v>
      </c>
      <c r="Y261" s="34" t="str">
        <f t="shared" si="36"/>
        <v>Susan Thompson</v>
      </c>
      <c r="Z261" s="34" t="str">
        <f t="shared" si="37"/>
        <v>BeforeTime</v>
      </c>
      <c r="AA261" s="34" t="str">
        <f t="shared" si="38"/>
        <v>outlook.com</v>
      </c>
    </row>
    <row r="262" spans="1:27" ht="14.25" customHeight="1" x14ac:dyDescent="0.3">
      <c r="A262" t="s">
        <v>1079</v>
      </c>
      <c r="B262" t="s">
        <v>218</v>
      </c>
      <c r="C262" t="s">
        <v>1080</v>
      </c>
      <c r="D262">
        <v>55</v>
      </c>
      <c r="E262" t="s">
        <v>41</v>
      </c>
      <c r="F262" t="s">
        <v>159</v>
      </c>
      <c r="G262" t="s">
        <v>1081</v>
      </c>
      <c r="H262" t="s">
        <v>1082</v>
      </c>
      <c r="I262" t="s">
        <v>1280</v>
      </c>
      <c r="J262" s="8">
        <v>45026</v>
      </c>
      <c r="K262" t="s">
        <v>1281</v>
      </c>
      <c r="L262" t="s">
        <v>270</v>
      </c>
      <c r="M262">
        <v>62.42</v>
      </c>
      <c r="N262">
        <v>3</v>
      </c>
      <c r="O262" t="s">
        <v>36</v>
      </c>
      <c r="P262">
        <v>3</v>
      </c>
      <c r="Q262">
        <v>37</v>
      </c>
      <c r="R262" s="8">
        <v>45031</v>
      </c>
      <c r="S262" t="s">
        <v>1282</v>
      </c>
      <c r="T262" s="33">
        <f t="shared" si="32"/>
        <v>5</v>
      </c>
      <c r="U262" s="33">
        <f t="shared" si="33"/>
        <v>187.26</v>
      </c>
      <c r="V262" s="33">
        <f t="shared" si="34"/>
        <v>224.26</v>
      </c>
      <c r="W262" s="36">
        <f t="shared" si="39"/>
        <v>0.08</v>
      </c>
      <c r="X262" s="33">
        <f t="shared" si="35"/>
        <v>206.3192</v>
      </c>
      <c r="Y262" s="33" t="str">
        <f t="shared" si="36"/>
        <v>Mark Summers</v>
      </c>
      <c r="Z262" s="33" t="str">
        <f t="shared" si="37"/>
        <v>Late</v>
      </c>
      <c r="AA262" s="33" t="str">
        <f t="shared" si="38"/>
        <v>outlook.com</v>
      </c>
    </row>
    <row r="263" spans="1:27" ht="14.25" customHeight="1" x14ac:dyDescent="0.3">
      <c r="A263" t="s">
        <v>301</v>
      </c>
      <c r="B263" t="s">
        <v>302</v>
      </c>
      <c r="C263" t="s">
        <v>303</v>
      </c>
      <c r="D263">
        <v>26</v>
      </c>
      <c r="E263" t="s">
        <v>52</v>
      </c>
      <c r="F263" t="s">
        <v>168</v>
      </c>
      <c r="G263" t="s">
        <v>304</v>
      </c>
      <c r="H263" t="s">
        <v>305</v>
      </c>
      <c r="I263" t="s">
        <v>1283</v>
      </c>
      <c r="J263" s="8">
        <v>45454</v>
      </c>
      <c r="K263" t="s">
        <v>1284</v>
      </c>
      <c r="L263" t="s">
        <v>657</v>
      </c>
      <c r="M263">
        <v>235.63</v>
      </c>
      <c r="N263">
        <v>2</v>
      </c>
      <c r="O263" t="s">
        <v>58</v>
      </c>
      <c r="P263">
        <v>4</v>
      </c>
      <c r="Q263">
        <v>44</v>
      </c>
      <c r="R263" s="8">
        <v>45458</v>
      </c>
      <c r="S263" t="s">
        <v>1285</v>
      </c>
      <c r="T263" s="34">
        <f t="shared" si="32"/>
        <v>4</v>
      </c>
      <c r="U263" s="34">
        <f t="shared" si="33"/>
        <v>471.26</v>
      </c>
      <c r="V263" s="34">
        <f t="shared" si="34"/>
        <v>515.26</v>
      </c>
      <c r="W263" s="36">
        <f t="shared" si="39"/>
        <v>0.15</v>
      </c>
      <c r="X263" s="34">
        <f t="shared" si="35"/>
        <v>437.971</v>
      </c>
      <c r="Y263" s="34" t="str">
        <f t="shared" si="36"/>
        <v>Valerie Carr</v>
      </c>
      <c r="Z263" s="34" t="str">
        <f t="shared" si="37"/>
        <v>Intime</v>
      </c>
      <c r="AA263" s="34" t="str">
        <f t="shared" si="38"/>
        <v>rediffmail.com</v>
      </c>
    </row>
    <row r="264" spans="1:27" ht="14.25" customHeight="1" x14ac:dyDescent="0.3">
      <c r="A264" t="s">
        <v>272</v>
      </c>
      <c r="B264" t="s">
        <v>273</v>
      </c>
      <c r="C264" t="s">
        <v>274</v>
      </c>
      <c r="D264">
        <v>44</v>
      </c>
      <c r="E264" t="s">
        <v>29</v>
      </c>
      <c r="F264" t="s">
        <v>220</v>
      </c>
      <c r="G264" t="s">
        <v>275</v>
      </c>
      <c r="H264" t="s">
        <v>276</v>
      </c>
      <c r="I264" t="s">
        <v>1286</v>
      </c>
      <c r="J264" s="8">
        <v>45547</v>
      </c>
      <c r="K264" t="s">
        <v>1287</v>
      </c>
      <c r="L264" t="s">
        <v>287</v>
      </c>
      <c r="M264">
        <v>157.63999999999999</v>
      </c>
      <c r="N264">
        <v>2</v>
      </c>
      <c r="O264" t="s">
        <v>36</v>
      </c>
      <c r="P264">
        <v>1</v>
      </c>
      <c r="Q264">
        <v>56</v>
      </c>
      <c r="R264" s="8">
        <v>45552</v>
      </c>
      <c r="S264" t="s">
        <v>1288</v>
      </c>
      <c r="T264" s="33">
        <f t="shared" si="32"/>
        <v>5</v>
      </c>
      <c r="U264" s="33">
        <f t="shared" si="33"/>
        <v>315.27999999999997</v>
      </c>
      <c r="V264" s="33">
        <f t="shared" si="34"/>
        <v>371.28</v>
      </c>
      <c r="W264" s="36">
        <f t="shared" si="39"/>
        <v>0.08</v>
      </c>
      <c r="X264" s="33">
        <f t="shared" si="35"/>
        <v>341.57760000000002</v>
      </c>
      <c r="Y264" s="33" t="str">
        <f t="shared" si="36"/>
        <v>Lauren Long</v>
      </c>
      <c r="Z264" s="33" t="str">
        <f t="shared" si="37"/>
        <v>Late</v>
      </c>
      <c r="AA264" s="33" t="str">
        <f t="shared" si="38"/>
        <v>gmail.com</v>
      </c>
    </row>
    <row r="265" spans="1:27" ht="14.25" customHeight="1" x14ac:dyDescent="0.3">
      <c r="A265" t="s">
        <v>255</v>
      </c>
      <c r="B265" t="s">
        <v>256</v>
      </c>
      <c r="C265" t="s">
        <v>257</v>
      </c>
      <c r="D265">
        <v>60</v>
      </c>
      <c r="E265" t="s">
        <v>52</v>
      </c>
      <c r="F265" t="s">
        <v>30</v>
      </c>
      <c r="G265" t="s">
        <v>258</v>
      </c>
      <c r="H265" t="s">
        <v>259</v>
      </c>
      <c r="I265" t="s">
        <v>1289</v>
      </c>
      <c r="J265" s="8">
        <v>44996</v>
      </c>
      <c r="K265" t="s">
        <v>1290</v>
      </c>
      <c r="L265" t="s">
        <v>344</v>
      </c>
      <c r="M265">
        <v>372.62</v>
      </c>
      <c r="N265">
        <v>4</v>
      </c>
      <c r="O265" t="s">
        <v>58</v>
      </c>
      <c r="P265">
        <v>2</v>
      </c>
      <c r="Q265">
        <v>42</v>
      </c>
      <c r="R265" s="8">
        <v>45001</v>
      </c>
      <c r="S265" t="s">
        <v>1291</v>
      </c>
      <c r="T265" s="34">
        <f t="shared" si="32"/>
        <v>5</v>
      </c>
      <c r="U265" s="34">
        <f t="shared" si="33"/>
        <v>1490.48</v>
      </c>
      <c r="V265" s="34">
        <f t="shared" si="34"/>
        <v>1532.48</v>
      </c>
      <c r="W265" s="36">
        <f t="shared" si="39"/>
        <v>0.15</v>
      </c>
      <c r="X265" s="34">
        <f t="shared" si="35"/>
        <v>1302.6079999999999</v>
      </c>
      <c r="Y265" s="34" t="str">
        <f t="shared" si="36"/>
        <v>Ashley Rose</v>
      </c>
      <c r="Z265" s="34" t="str">
        <f t="shared" si="37"/>
        <v>Late</v>
      </c>
      <c r="AA265" s="34" t="str">
        <f t="shared" si="38"/>
        <v>gmail.com</v>
      </c>
    </row>
    <row r="266" spans="1:27" ht="14.25" customHeight="1" x14ac:dyDescent="0.3">
      <c r="A266" t="s">
        <v>1210</v>
      </c>
      <c r="B266" t="s">
        <v>1211</v>
      </c>
      <c r="C266" t="s">
        <v>1212</v>
      </c>
      <c r="D266">
        <v>50</v>
      </c>
      <c r="E266" t="s">
        <v>52</v>
      </c>
      <c r="F266" t="s">
        <v>168</v>
      </c>
      <c r="G266" t="s">
        <v>1213</v>
      </c>
      <c r="H266" t="s">
        <v>1214</v>
      </c>
      <c r="I266" t="s">
        <v>1292</v>
      </c>
      <c r="J266" s="8">
        <v>45672</v>
      </c>
      <c r="K266" t="s">
        <v>1293</v>
      </c>
      <c r="L266" t="s">
        <v>590</v>
      </c>
      <c r="M266">
        <v>403.03</v>
      </c>
      <c r="N266">
        <v>2</v>
      </c>
      <c r="O266" t="s">
        <v>85</v>
      </c>
      <c r="P266">
        <v>3</v>
      </c>
      <c r="Q266">
        <v>61</v>
      </c>
      <c r="R266" s="8">
        <v>45677</v>
      </c>
      <c r="S266" t="s">
        <v>1294</v>
      </c>
      <c r="T266" s="33">
        <f t="shared" si="32"/>
        <v>5</v>
      </c>
      <c r="U266" s="33">
        <f t="shared" si="33"/>
        <v>806.06</v>
      </c>
      <c r="V266" s="33">
        <f t="shared" si="34"/>
        <v>867.06</v>
      </c>
      <c r="W266" s="36">
        <f t="shared" si="39"/>
        <v>0.2</v>
      </c>
      <c r="X266" s="33">
        <f t="shared" si="35"/>
        <v>693.64800000000002</v>
      </c>
      <c r="Y266" s="33" t="str">
        <f t="shared" si="36"/>
        <v>Brendan Kelly</v>
      </c>
      <c r="Z266" s="33" t="str">
        <f t="shared" si="37"/>
        <v>Late</v>
      </c>
      <c r="AA266" s="33" t="str">
        <f t="shared" si="38"/>
        <v>rediffmail.com</v>
      </c>
    </row>
    <row r="267" spans="1:27" ht="14.25" customHeight="1" x14ac:dyDescent="0.3">
      <c r="A267" t="s">
        <v>209</v>
      </c>
      <c r="B267" t="s">
        <v>210</v>
      </c>
      <c r="C267" t="s">
        <v>211</v>
      </c>
      <c r="D267">
        <v>39</v>
      </c>
      <c r="E267" t="s">
        <v>41</v>
      </c>
      <c r="F267" t="s">
        <v>159</v>
      </c>
      <c r="G267" t="s">
        <v>212</v>
      </c>
      <c r="H267" t="s">
        <v>213</v>
      </c>
      <c r="I267" t="s">
        <v>1295</v>
      </c>
      <c r="J267" s="8">
        <v>45366</v>
      </c>
      <c r="K267" t="s">
        <v>1296</v>
      </c>
      <c r="L267" t="s">
        <v>199</v>
      </c>
      <c r="M267">
        <v>20.7</v>
      </c>
      <c r="N267">
        <v>3</v>
      </c>
      <c r="O267" t="s">
        <v>63</v>
      </c>
      <c r="P267">
        <v>1</v>
      </c>
      <c r="Q267">
        <v>67</v>
      </c>
      <c r="R267" s="8">
        <v>45372</v>
      </c>
      <c r="S267" t="s">
        <v>1297</v>
      </c>
      <c r="T267" s="34">
        <f t="shared" si="32"/>
        <v>6</v>
      </c>
      <c r="U267" s="34">
        <f t="shared" si="33"/>
        <v>62.099999999999994</v>
      </c>
      <c r="V267" s="34">
        <f t="shared" si="34"/>
        <v>129.1</v>
      </c>
      <c r="W267" s="36">
        <f t="shared" si="39"/>
        <v>0</v>
      </c>
      <c r="X267" s="34">
        <f t="shared" si="35"/>
        <v>129.1</v>
      </c>
      <c r="Y267" s="34" t="str">
        <f t="shared" si="36"/>
        <v>Christian Clayton</v>
      </c>
      <c r="Z267" s="34" t="str">
        <f t="shared" si="37"/>
        <v>Late</v>
      </c>
      <c r="AA267" s="34" t="str">
        <f t="shared" si="38"/>
        <v>yahoo.com</v>
      </c>
    </row>
    <row r="268" spans="1:27" ht="14.25" customHeight="1" x14ac:dyDescent="0.3">
      <c r="A268" t="s">
        <v>184</v>
      </c>
      <c r="B268" t="s">
        <v>185</v>
      </c>
      <c r="C268" t="s">
        <v>186</v>
      </c>
      <c r="D268">
        <v>42</v>
      </c>
      <c r="E268" t="s">
        <v>41</v>
      </c>
      <c r="F268" t="s">
        <v>168</v>
      </c>
      <c r="G268" t="s">
        <v>187</v>
      </c>
      <c r="H268" t="s">
        <v>188</v>
      </c>
      <c r="I268" t="s">
        <v>1298</v>
      </c>
      <c r="J268" s="8">
        <v>45541</v>
      </c>
      <c r="K268" t="s">
        <v>1299</v>
      </c>
      <c r="L268" t="s">
        <v>514</v>
      </c>
      <c r="M268">
        <v>136.30000000000001</v>
      </c>
      <c r="N268">
        <v>2</v>
      </c>
      <c r="O268" t="s">
        <v>85</v>
      </c>
      <c r="P268">
        <v>2</v>
      </c>
      <c r="Q268">
        <v>45</v>
      </c>
      <c r="R268" s="8">
        <v>45546</v>
      </c>
      <c r="S268" t="s">
        <v>1300</v>
      </c>
      <c r="T268" s="33">
        <f t="shared" si="32"/>
        <v>5</v>
      </c>
      <c r="U268" s="33">
        <f t="shared" si="33"/>
        <v>272.60000000000002</v>
      </c>
      <c r="V268" s="33">
        <f t="shared" si="34"/>
        <v>317.60000000000002</v>
      </c>
      <c r="W268" s="36">
        <f t="shared" si="39"/>
        <v>0.2</v>
      </c>
      <c r="X268" s="33">
        <f t="shared" si="35"/>
        <v>254.08000000000004</v>
      </c>
      <c r="Y268" s="33" t="str">
        <f t="shared" si="36"/>
        <v>Mallory Mitchell</v>
      </c>
      <c r="Z268" s="33" t="str">
        <f t="shared" si="37"/>
        <v>Late</v>
      </c>
      <c r="AA268" s="33" t="str">
        <f t="shared" si="38"/>
        <v>yahoo.com</v>
      </c>
    </row>
    <row r="269" spans="1:27" ht="14.25" customHeight="1" x14ac:dyDescent="0.3">
      <c r="A269" t="s">
        <v>705</v>
      </c>
      <c r="B269" t="s">
        <v>706</v>
      </c>
      <c r="C269" t="s">
        <v>707</v>
      </c>
      <c r="D269">
        <v>26</v>
      </c>
      <c r="E269" t="s">
        <v>52</v>
      </c>
      <c r="F269" t="s">
        <v>76</v>
      </c>
      <c r="G269" t="s">
        <v>708</v>
      </c>
      <c r="H269" t="s">
        <v>709</v>
      </c>
      <c r="I269" t="s">
        <v>1301</v>
      </c>
      <c r="J269" s="8">
        <v>45389</v>
      </c>
      <c r="K269" t="s">
        <v>1302</v>
      </c>
      <c r="L269" t="s">
        <v>738</v>
      </c>
      <c r="M269">
        <v>110.95</v>
      </c>
      <c r="N269">
        <v>2</v>
      </c>
      <c r="O269" t="s">
        <v>85</v>
      </c>
      <c r="P269">
        <v>3</v>
      </c>
      <c r="Q269">
        <v>36</v>
      </c>
      <c r="R269" s="8">
        <v>45394</v>
      </c>
      <c r="S269" t="s">
        <v>1303</v>
      </c>
      <c r="T269" s="34">
        <f t="shared" si="32"/>
        <v>5</v>
      </c>
      <c r="U269" s="34">
        <f t="shared" si="33"/>
        <v>221.9</v>
      </c>
      <c r="V269" s="34">
        <f t="shared" si="34"/>
        <v>257.89999999999998</v>
      </c>
      <c r="W269" s="36">
        <f t="shared" si="39"/>
        <v>0.2</v>
      </c>
      <c r="X269" s="34">
        <f t="shared" si="35"/>
        <v>206.32</v>
      </c>
      <c r="Y269" s="34" t="str">
        <f t="shared" si="36"/>
        <v>Gregory Lee</v>
      </c>
      <c r="Z269" s="34" t="str">
        <f t="shared" si="37"/>
        <v>Late</v>
      </c>
      <c r="AA269" s="34" t="str">
        <f t="shared" si="38"/>
        <v>rediffmail.com</v>
      </c>
    </row>
    <row r="270" spans="1:27" ht="14.25" customHeight="1" x14ac:dyDescent="0.3">
      <c r="A270" t="s">
        <v>227</v>
      </c>
      <c r="B270" t="s">
        <v>228</v>
      </c>
      <c r="C270" t="s">
        <v>229</v>
      </c>
      <c r="D270">
        <v>64</v>
      </c>
      <c r="E270" t="s">
        <v>41</v>
      </c>
      <c r="F270" t="s">
        <v>42</v>
      </c>
      <c r="G270" t="s">
        <v>230</v>
      </c>
      <c r="H270" t="s">
        <v>231</v>
      </c>
      <c r="I270" t="s">
        <v>1304</v>
      </c>
      <c r="J270" s="8">
        <v>45351</v>
      </c>
      <c r="K270" t="s">
        <v>1305</v>
      </c>
      <c r="L270" t="s">
        <v>344</v>
      </c>
      <c r="M270">
        <v>372.62</v>
      </c>
      <c r="N270">
        <v>3</v>
      </c>
      <c r="O270" t="s">
        <v>63</v>
      </c>
      <c r="P270">
        <v>5</v>
      </c>
      <c r="Q270">
        <v>54</v>
      </c>
      <c r="R270" s="8">
        <v>45352</v>
      </c>
      <c r="S270" t="s">
        <v>1306</v>
      </c>
      <c r="T270" s="33">
        <f t="shared" si="32"/>
        <v>1</v>
      </c>
      <c r="U270" s="33">
        <f t="shared" si="33"/>
        <v>1117.8600000000001</v>
      </c>
      <c r="V270" s="33">
        <f t="shared" si="34"/>
        <v>1171.8600000000001</v>
      </c>
      <c r="W270" s="36">
        <f t="shared" si="39"/>
        <v>0</v>
      </c>
      <c r="X270" s="33">
        <f t="shared" si="35"/>
        <v>1171.8600000000001</v>
      </c>
      <c r="Y270" s="33" t="str">
        <f t="shared" si="36"/>
        <v>John Herrera</v>
      </c>
      <c r="Z270" s="33" t="str">
        <f t="shared" si="37"/>
        <v>BeforeTime</v>
      </c>
      <c r="AA270" s="33" t="str">
        <f t="shared" si="38"/>
        <v>outlook.com</v>
      </c>
    </row>
    <row r="271" spans="1:27" ht="14.25" customHeight="1" x14ac:dyDescent="0.3">
      <c r="A271" t="s">
        <v>1307</v>
      </c>
      <c r="B271" t="s">
        <v>1308</v>
      </c>
      <c r="C271" t="s">
        <v>1309</v>
      </c>
      <c r="D271">
        <v>63</v>
      </c>
      <c r="E271" t="s">
        <v>29</v>
      </c>
      <c r="F271" t="s">
        <v>168</v>
      </c>
      <c r="G271" t="s">
        <v>1310</v>
      </c>
      <c r="H271" t="s">
        <v>1311</v>
      </c>
      <c r="I271" t="s">
        <v>1312</v>
      </c>
      <c r="J271" s="8">
        <v>45083</v>
      </c>
      <c r="K271" t="s">
        <v>1313</v>
      </c>
      <c r="L271" t="s">
        <v>287</v>
      </c>
      <c r="M271">
        <v>157.63999999999999</v>
      </c>
      <c r="N271">
        <v>2</v>
      </c>
      <c r="O271" t="s">
        <v>36</v>
      </c>
      <c r="P271">
        <v>4</v>
      </c>
      <c r="Q271">
        <v>61</v>
      </c>
      <c r="R271" s="8">
        <v>45090</v>
      </c>
      <c r="S271" t="s">
        <v>1314</v>
      </c>
      <c r="T271" s="34">
        <f t="shared" si="32"/>
        <v>7</v>
      </c>
      <c r="U271" s="34">
        <f t="shared" si="33"/>
        <v>315.27999999999997</v>
      </c>
      <c r="V271" s="34">
        <f t="shared" si="34"/>
        <v>376.28</v>
      </c>
      <c r="W271" s="36">
        <f t="shared" si="39"/>
        <v>0.08</v>
      </c>
      <c r="X271" s="34">
        <f t="shared" si="35"/>
        <v>346.17759999999998</v>
      </c>
      <c r="Y271" s="34" t="str">
        <f t="shared" si="36"/>
        <v>Megan Hunt</v>
      </c>
      <c r="Z271" s="34" t="str">
        <f t="shared" si="37"/>
        <v>Late</v>
      </c>
      <c r="AA271" s="34" t="str">
        <f t="shared" si="38"/>
        <v>rediffmail.com</v>
      </c>
    </row>
    <row r="272" spans="1:27" ht="14.25" customHeight="1" x14ac:dyDescent="0.3">
      <c r="A272" t="s">
        <v>1221</v>
      </c>
      <c r="B272" t="s">
        <v>1222</v>
      </c>
      <c r="C272" t="s">
        <v>1223</v>
      </c>
      <c r="D272">
        <v>19</v>
      </c>
      <c r="E272" t="s">
        <v>41</v>
      </c>
      <c r="F272" t="s">
        <v>76</v>
      </c>
      <c r="G272" t="s">
        <v>1224</v>
      </c>
      <c r="H272" t="s">
        <v>1225</v>
      </c>
      <c r="I272" t="s">
        <v>1315</v>
      </c>
      <c r="J272" s="8">
        <v>44997</v>
      </c>
      <c r="K272" t="s">
        <v>1316</v>
      </c>
      <c r="L272" t="s">
        <v>145</v>
      </c>
      <c r="M272">
        <v>190.1</v>
      </c>
      <c r="N272">
        <v>3</v>
      </c>
      <c r="O272" t="s">
        <v>36</v>
      </c>
      <c r="P272">
        <v>4</v>
      </c>
      <c r="Q272">
        <v>63</v>
      </c>
      <c r="R272" s="8">
        <v>45002</v>
      </c>
      <c r="S272" t="s">
        <v>1317</v>
      </c>
      <c r="T272" s="33">
        <f t="shared" si="32"/>
        <v>5</v>
      </c>
      <c r="U272" s="33">
        <f t="shared" si="33"/>
        <v>570.29999999999995</v>
      </c>
      <c r="V272" s="33">
        <f t="shared" si="34"/>
        <v>633.29999999999995</v>
      </c>
      <c r="W272" s="36">
        <f t="shared" si="39"/>
        <v>0.08</v>
      </c>
      <c r="X272" s="33">
        <f t="shared" si="35"/>
        <v>582.63599999999997</v>
      </c>
      <c r="Y272" s="33" t="str">
        <f t="shared" si="36"/>
        <v>Jessica Ruiz</v>
      </c>
      <c r="Z272" s="33" t="str">
        <f t="shared" si="37"/>
        <v>Late</v>
      </c>
      <c r="AA272" s="33" t="str">
        <f t="shared" si="38"/>
        <v>rediffmail.com</v>
      </c>
    </row>
    <row r="273" spans="1:27" ht="14.25" customHeight="1" x14ac:dyDescent="0.3">
      <c r="A273" t="s">
        <v>1318</v>
      </c>
      <c r="B273" t="s">
        <v>1319</v>
      </c>
      <c r="C273" t="s">
        <v>1320</v>
      </c>
      <c r="D273">
        <v>43</v>
      </c>
      <c r="E273" t="s">
        <v>29</v>
      </c>
      <c r="F273" t="s">
        <v>140</v>
      </c>
      <c r="G273" t="s">
        <v>1321</v>
      </c>
      <c r="H273" t="s">
        <v>1322</v>
      </c>
      <c r="I273" t="s">
        <v>1323</v>
      </c>
      <c r="J273" s="8">
        <v>45428</v>
      </c>
      <c r="K273" t="s">
        <v>1324</v>
      </c>
      <c r="L273" t="s">
        <v>941</v>
      </c>
      <c r="M273">
        <v>107.47</v>
      </c>
      <c r="N273">
        <v>1</v>
      </c>
      <c r="O273" t="s">
        <v>36</v>
      </c>
      <c r="P273">
        <v>4</v>
      </c>
      <c r="Q273">
        <v>36</v>
      </c>
      <c r="R273" s="8">
        <v>45430</v>
      </c>
      <c r="S273" t="s">
        <v>1325</v>
      </c>
      <c r="T273" s="34">
        <f t="shared" si="32"/>
        <v>2</v>
      </c>
      <c r="U273" s="34">
        <f t="shared" si="33"/>
        <v>107.47</v>
      </c>
      <c r="V273" s="34">
        <f t="shared" si="34"/>
        <v>143.47</v>
      </c>
      <c r="W273" s="36">
        <f t="shared" si="39"/>
        <v>0.08</v>
      </c>
      <c r="X273" s="34">
        <f t="shared" si="35"/>
        <v>131.9924</v>
      </c>
      <c r="Y273" s="34" t="str">
        <f t="shared" si="36"/>
        <v>Jared Horn</v>
      </c>
      <c r="Z273" s="34" t="str">
        <f t="shared" si="37"/>
        <v>BeforeTime</v>
      </c>
      <c r="AA273" s="34" t="str">
        <f t="shared" si="38"/>
        <v>outlook.com</v>
      </c>
    </row>
    <row r="274" spans="1:27" ht="14.25" customHeight="1" x14ac:dyDescent="0.3">
      <c r="A274" t="s">
        <v>385</v>
      </c>
      <c r="B274" t="s">
        <v>386</v>
      </c>
      <c r="C274" t="s">
        <v>387</v>
      </c>
      <c r="D274">
        <v>47</v>
      </c>
      <c r="E274" t="s">
        <v>41</v>
      </c>
      <c r="F274" t="s">
        <v>90</v>
      </c>
      <c r="G274" t="s">
        <v>388</v>
      </c>
      <c r="H274" t="s">
        <v>389</v>
      </c>
      <c r="I274" t="s">
        <v>1326</v>
      </c>
      <c r="J274" s="8">
        <v>45012</v>
      </c>
      <c r="K274" t="s">
        <v>1327</v>
      </c>
      <c r="L274" t="s">
        <v>135</v>
      </c>
      <c r="M274">
        <v>175.93</v>
      </c>
      <c r="N274">
        <v>3</v>
      </c>
      <c r="O274" t="s">
        <v>63</v>
      </c>
      <c r="P274">
        <v>3</v>
      </c>
      <c r="Q274">
        <v>58</v>
      </c>
      <c r="R274" s="8">
        <v>45017</v>
      </c>
      <c r="S274" t="s">
        <v>1328</v>
      </c>
      <c r="T274" s="33">
        <f t="shared" si="32"/>
        <v>5</v>
      </c>
      <c r="U274" s="33">
        <f t="shared" si="33"/>
        <v>527.79</v>
      </c>
      <c r="V274" s="33">
        <f t="shared" si="34"/>
        <v>585.79</v>
      </c>
      <c r="W274" s="36">
        <f t="shared" si="39"/>
        <v>0</v>
      </c>
      <c r="X274" s="33">
        <f t="shared" si="35"/>
        <v>585.79</v>
      </c>
      <c r="Y274" s="33" t="str">
        <f t="shared" si="36"/>
        <v>Aaron Thompson</v>
      </c>
      <c r="Z274" s="33" t="str">
        <f t="shared" si="37"/>
        <v>Late</v>
      </c>
      <c r="AA274" s="33" t="str">
        <f t="shared" si="38"/>
        <v>gmail.com</v>
      </c>
    </row>
    <row r="275" spans="1:27" ht="14.25" customHeight="1" x14ac:dyDescent="0.3">
      <c r="A275" t="s">
        <v>1210</v>
      </c>
      <c r="B275" t="s">
        <v>1211</v>
      </c>
      <c r="C275" t="s">
        <v>1212</v>
      </c>
      <c r="D275">
        <v>50</v>
      </c>
      <c r="E275" t="s">
        <v>52</v>
      </c>
      <c r="F275" t="s">
        <v>168</v>
      </c>
      <c r="G275" t="s">
        <v>1213</v>
      </c>
      <c r="H275" t="s">
        <v>1214</v>
      </c>
      <c r="I275" t="s">
        <v>1329</v>
      </c>
      <c r="J275" s="8">
        <v>45481</v>
      </c>
      <c r="K275" t="s">
        <v>1330</v>
      </c>
      <c r="L275" t="s">
        <v>686</v>
      </c>
      <c r="M275">
        <v>424.82</v>
      </c>
      <c r="N275">
        <v>3</v>
      </c>
      <c r="O275" t="s">
        <v>63</v>
      </c>
      <c r="P275">
        <v>3</v>
      </c>
      <c r="Q275">
        <v>42</v>
      </c>
      <c r="R275" s="8">
        <v>45482</v>
      </c>
      <c r="S275" t="s">
        <v>1331</v>
      </c>
      <c r="T275" s="34">
        <f t="shared" si="32"/>
        <v>1</v>
      </c>
      <c r="U275" s="34">
        <f t="shared" si="33"/>
        <v>1274.46</v>
      </c>
      <c r="V275" s="34">
        <f t="shared" si="34"/>
        <v>1316.46</v>
      </c>
      <c r="W275" s="36">
        <f t="shared" si="39"/>
        <v>0</v>
      </c>
      <c r="X275" s="34">
        <f t="shared" si="35"/>
        <v>1316.46</v>
      </c>
      <c r="Y275" s="34" t="str">
        <f t="shared" si="36"/>
        <v>Brendan Kelly</v>
      </c>
      <c r="Z275" s="34" t="str">
        <f t="shared" si="37"/>
        <v>BeforeTime</v>
      </c>
      <c r="AA275" s="34" t="str">
        <f t="shared" si="38"/>
        <v>rediffmail.com</v>
      </c>
    </row>
    <row r="276" spans="1:27" ht="14.25" customHeight="1" x14ac:dyDescent="0.3">
      <c r="A276" t="s">
        <v>1332</v>
      </c>
      <c r="B276" t="s">
        <v>1333</v>
      </c>
      <c r="C276" t="s">
        <v>395</v>
      </c>
      <c r="D276">
        <v>18</v>
      </c>
      <c r="E276" t="s">
        <v>41</v>
      </c>
      <c r="F276" t="s">
        <v>220</v>
      </c>
      <c r="G276" t="s">
        <v>1334</v>
      </c>
      <c r="H276" t="s">
        <v>1335</v>
      </c>
      <c r="I276" t="s">
        <v>1336</v>
      </c>
      <c r="J276" s="8">
        <v>45332</v>
      </c>
      <c r="K276" t="s">
        <v>1337</v>
      </c>
      <c r="L276" t="s">
        <v>323</v>
      </c>
      <c r="M276">
        <v>481.48</v>
      </c>
      <c r="N276">
        <v>4</v>
      </c>
      <c r="O276" t="s">
        <v>63</v>
      </c>
      <c r="P276">
        <v>2</v>
      </c>
      <c r="Q276">
        <v>61</v>
      </c>
      <c r="R276" s="8">
        <v>45338</v>
      </c>
      <c r="S276" t="s">
        <v>1338</v>
      </c>
      <c r="T276" s="33">
        <f t="shared" si="32"/>
        <v>6</v>
      </c>
      <c r="U276" s="33">
        <f t="shared" si="33"/>
        <v>1925.92</v>
      </c>
      <c r="V276" s="33">
        <f t="shared" si="34"/>
        <v>1986.92</v>
      </c>
      <c r="W276" s="36">
        <f t="shared" si="39"/>
        <v>0</v>
      </c>
      <c r="X276" s="33">
        <f t="shared" si="35"/>
        <v>1986.92</v>
      </c>
      <c r="Y276" s="33" t="str">
        <f t="shared" si="36"/>
        <v>Veronica Lopez</v>
      </c>
      <c r="Z276" s="33" t="str">
        <f t="shared" si="37"/>
        <v>Late</v>
      </c>
      <c r="AA276" s="33" t="str">
        <f t="shared" si="38"/>
        <v>gmail.com</v>
      </c>
    </row>
    <row r="277" spans="1:27" ht="14.25" customHeight="1" x14ac:dyDescent="0.3">
      <c r="A277" t="s">
        <v>1210</v>
      </c>
      <c r="B277" t="s">
        <v>1211</v>
      </c>
      <c r="C277" t="s">
        <v>1212</v>
      </c>
      <c r="D277">
        <v>50</v>
      </c>
      <c r="E277" t="s">
        <v>52</v>
      </c>
      <c r="F277" t="s">
        <v>168</v>
      </c>
      <c r="G277" t="s">
        <v>1213</v>
      </c>
      <c r="H277" t="s">
        <v>1214</v>
      </c>
      <c r="I277" t="s">
        <v>1339</v>
      </c>
      <c r="J277" s="8">
        <v>45599</v>
      </c>
      <c r="K277" t="s">
        <v>1340</v>
      </c>
      <c r="L277" t="s">
        <v>182</v>
      </c>
      <c r="M277">
        <v>104.18</v>
      </c>
      <c r="N277">
        <v>1</v>
      </c>
      <c r="O277" t="s">
        <v>36</v>
      </c>
      <c r="P277">
        <v>1</v>
      </c>
      <c r="Q277">
        <v>48</v>
      </c>
      <c r="R277" s="8">
        <v>45603</v>
      </c>
      <c r="S277" t="s">
        <v>1341</v>
      </c>
      <c r="T277" s="34">
        <f t="shared" si="32"/>
        <v>4</v>
      </c>
      <c r="U277" s="34">
        <f t="shared" si="33"/>
        <v>104.18</v>
      </c>
      <c r="V277" s="34">
        <f t="shared" si="34"/>
        <v>152.18</v>
      </c>
      <c r="W277" s="36">
        <f t="shared" si="39"/>
        <v>0.08</v>
      </c>
      <c r="X277" s="34">
        <f t="shared" si="35"/>
        <v>140.00560000000002</v>
      </c>
      <c r="Y277" s="34" t="str">
        <f t="shared" si="36"/>
        <v>Brendan Kelly</v>
      </c>
      <c r="Z277" s="34" t="str">
        <f t="shared" si="37"/>
        <v>Late</v>
      </c>
      <c r="AA277" s="34" t="str">
        <f t="shared" si="38"/>
        <v>rediffmail.com</v>
      </c>
    </row>
    <row r="278" spans="1:27" ht="14.25" customHeight="1" x14ac:dyDescent="0.3">
      <c r="A278" t="s">
        <v>1342</v>
      </c>
      <c r="B278" t="s">
        <v>508</v>
      </c>
      <c r="C278" t="s">
        <v>1343</v>
      </c>
      <c r="D278">
        <v>40</v>
      </c>
      <c r="E278" t="s">
        <v>52</v>
      </c>
      <c r="F278" t="s">
        <v>220</v>
      </c>
      <c r="G278" t="s">
        <v>1344</v>
      </c>
      <c r="H278" t="s">
        <v>1345</v>
      </c>
      <c r="I278" t="s">
        <v>1346</v>
      </c>
      <c r="J278" s="8">
        <v>45422</v>
      </c>
      <c r="K278" t="s">
        <v>1347</v>
      </c>
      <c r="L278" t="s">
        <v>553</v>
      </c>
      <c r="M278">
        <v>425.59</v>
      </c>
      <c r="N278">
        <v>2</v>
      </c>
      <c r="O278" t="s">
        <v>36</v>
      </c>
      <c r="P278">
        <v>3</v>
      </c>
      <c r="Q278">
        <v>47</v>
      </c>
      <c r="R278" s="8">
        <v>45423</v>
      </c>
      <c r="S278" t="s">
        <v>1348</v>
      </c>
      <c r="T278" s="33">
        <f t="shared" si="32"/>
        <v>1</v>
      </c>
      <c r="U278" s="33">
        <f t="shared" si="33"/>
        <v>851.18</v>
      </c>
      <c r="V278" s="33">
        <f t="shared" si="34"/>
        <v>898.18</v>
      </c>
      <c r="W278" s="36">
        <f t="shared" si="39"/>
        <v>0.08</v>
      </c>
      <c r="X278" s="33">
        <f t="shared" si="35"/>
        <v>826.32560000000001</v>
      </c>
      <c r="Y278" s="33" t="str">
        <f t="shared" si="36"/>
        <v>Sarah Benson</v>
      </c>
      <c r="Z278" s="33" t="str">
        <f t="shared" si="37"/>
        <v>BeforeTime</v>
      </c>
      <c r="AA278" s="33" t="str">
        <f t="shared" si="38"/>
        <v>outlook.com</v>
      </c>
    </row>
    <row r="279" spans="1:27" ht="14.25" customHeight="1" x14ac:dyDescent="0.3">
      <c r="A279" t="s">
        <v>1221</v>
      </c>
      <c r="B279" t="s">
        <v>1222</v>
      </c>
      <c r="C279" t="s">
        <v>1223</v>
      </c>
      <c r="D279">
        <v>19</v>
      </c>
      <c r="E279" t="s">
        <v>41</v>
      </c>
      <c r="F279" t="s">
        <v>76</v>
      </c>
      <c r="G279" t="s">
        <v>1224</v>
      </c>
      <c r="H279" t="s">
        <v>1225</v>
      </c>
      <c r="I279" t="s">
        <v>1349</v>
      </c>
      <c r="J279" s="8">
        <v>45017</v>
      </c>
      <c r="K279" t="s">
        <v>1350</v>
      </c>
      <c r="L279" t="s">
        <v>225</v>
      </c>
      <c r="M279">
        <v>461.07</v>
      </c>
      <c r="N279">
        <v>4</v>
      </c>
      <c r="O279" t="s">
        <v>63</v>
      </c>
      <c r="P279">
        <v>6</v>
      </c>
      <c r="Q279">
        <v>46</v>
      </c>
      <c r="R279" s="8">
        <v>45022</v>
      </c>
      <c r="S279" t="s">
        <v>1351</v>
      </c>
      <c r="T279" s="34">
        <f t="shared" si="32"/>
        <v>5</v>
      </c>
      <c r="U279" s="34">
        <f t="shared" si="33"/>
        <v>1844.28</v>
      </c>
      <c r="V279" s="34">
        <f t="shared" si="34"/>
        <v>1890.28</v>
      </c>
      <c r="W279" s="36">
        <f t="shared" si="39"/>
        <v>0</v>
      </c>
      <c r="X279" s="34">
        <f t="shared" si="35"/>
        <v>1890.28</v>
      </c>
      <c r="Y279" s="34" t="str">
        <f t="shared" si="36"/>
        <v>Jessica Ruiz</v>
      </c>
      <c r="Z279" s="34" t="str">
        <f t="shared" si="37"/>
        <v>BeforeTime</v>
      </c>
      <c r="AA279" s="34" t="str">
        <f t="shared" si="38"/>
        <v>rediffmail.com</v>
      </c>
    </row>
    <row r="280" spans="1:27" ht="14.25" customHeight="1" x14ac:dyDescent="0.3">
      <c r="A280" t="s">
        <v>147</v>
      </c>
      <c r="B280" t="s">
        <v>148</v>
      </c>
      <c r="C280" t="s">
        <v>149</v>
      </c>
      <c r="D280">
        <v>44</v>
      </c>
      <c r="E280" t="s">
        <v>41</v>
      </c>
      <c r="F280" t="s">
        <v>90</v>
      </c>
      <c r="G280" t="s">
        <v>150</v>
      </c>
      <c r="H280" t="s">
        <v>151</v>
      </c>
      <c r="I280" t="s">
        <v>1352</v>
      </c>
      <c r="J280" s="8">
        <v>45422</v>
      </c>
      <c r="K280" t="s">
        <v>1353</v>
      </c>
      <c r="L280" t="s">
        <v>270</v>
      </c>
      <c r="M280">
        <v>62.42</v>
      </c>
      <c r="N280">
        <v>4</v>
      </c>
      <c r="O280" t="s">
        <v>58</v>
      </c>
      <c r="P280">
        <v>1</v>
      </c>
      <c r="Q280">
        <v>67</v>
      </c>
      <c r="R280" s="8">
        <v>45426</v>
      </c>
      <c r="S280" t="s">
        <v>1354</v>
      </c>
      <c r="T280" s="33">
        <f t="shared" si="32"/>
        <v>4</v>
      </c>
      <c r="U280" s="33">
        <f t="shared" si="33"/>
        <v>249.68</v>
      </c>
      <c r="V280" s="33">
        <f t="shared" si="34"/>
        <v>316.68</v>
      </c>
      <c r="W280" s="36">
        <f t="shared" si="39"/>
        <v>0.15</v>
      </c>
      <c r="X280" s="33">
        <f t="shared" si="35"/>
        <v>269.178</v>
      </c>
      <c r="Y280" s="33" t="str">
        <f t="shared" si="36"/>
        <v>Amy Reid</v>
      </c>
      <c r="Z280" s="33" t="str">
        <f t="shared" si="37"/>
        <v>Late</v>
      </c>
      <c r="AA280" s="33" t="str">
        <f t="shared" si="38"/>
        <v>rediffmail.com</v>
      </c>
    </row>
    <row r="281" spans="1:27" ht="14.25" customHeight="1" x14ac:dyDescent="0.3">
      <c r="A281" t="s">
        <v>38</v>
      </c>
      <c r="B281" t="s">
        <v>39</v>
      </c>
      <c r="C281" t="s">
        <v>40</v>
      </c>
      <c r="D281">
        <v>53</v>
      </c>
      <c r="E281" t="s">
        <v>41</v>
      </c>
      <c r="F281" t="s">
        <v>42</v>
      </c>
      <c r="G281" t="s">
        <v>43</v>
      </c>
      <c r="H281" t="s">
        <v>44</v>
      </c>
      <c r="I281" t="s">
        <v>1355</v>
      </c>
      <c r="J281" s="8">
        <v>45186</v>
      </c>
      <c r="K281" t="s">
        <v>1356</v>
      </c>
      <c r="L281" t="s">
        <v>126</v>
      </c>
      <c r="M281">
        <v>257.06</v>
      </c>
      <c r="N281">
        <v>1</v>
      </c>
      <c r="O281" t="s">
        <v>85</v>
      </c>
      <c r="P281">
        <v>5</v>
      </c>
      <c r="Q281">
        <v>64</v>
      </c>
      <c r="R281" s="8">
        <v>45188</v>
      </c>
      <c r="S281" t="s">
        <v>1357</v>
      </c>
      <c r="T281" s="34">
        <f t="shared" si="32"/>
        <v>2</v>
      </c>
      <c r="U281" s="34">
        <f t="shared" si="33"/>
        <v>257.06</v>
      </c>
      <c r="V281" s="34">
        <f t="shared" si="34"/>
        <v>321.06</v>
      </c>
      <c r="W281" s="36">
        <f t="shared" si="39"/>
        <v>0.2</v>
      </c>
      <c r="X281" s="34">
        <f t="shared" si="35"/>
        <v>256.84800000000001</v>
      </c>
      <c r="Y281" s="34" t="str">
        <f t="shared" si="36"/>
        <v>Anthony Thomas</v>
      </c>
      <c r="Z281" s="34" t="str">
        <f t="shared" si="37"/>
        <v>BeforeTime</v>
      </c>
      <c r="AA281" s="34" t="str">
        <f t="shared" si="38"/>
        <v>rediffmail.com</v>
      </c>
    </row>
    <row r="282" spans="1:27" ht="14.25" customHeight="1" x14ac:dyDescent="0.3">
      <c r="A282" t="s">
        <v>546</v>
      </c>
      <c r="B282" t="s">
        <v>547</v>
      </c>
      <c r="C282" t="s">
        <v>548</v>
      </c>
      <c r="D282">
        <v>33</v>
      </c>
      <c r="E282" t="s">
        <v>52</v>
      </c>
      <c r="F282" t="s">
        <v>168</v>
      </c>
      <c r="G282" t="s">
        <v>549</v>
      </c>
      <c r="H282" t="s">
        <v>550</v>
      </c>
      <c r="I282" t="s">
        <v>1358</v>
      </c>
      <c r="J282" s="8">
        <v>45677</v>
      </c>
      <c r="K282" t="s">
        <v>1359</v>
      </c>
      <c r="L282" t="s">
        <v>173</v>
      </c>
      <c r="M282">
        <v>272.51</v>
      </c>
      <c r="N282">
        <v>4</v>
      </c>
      <c r="O282" t="s">
        <v>85</v>
      </c>
      <c r="P282">
        <v>6</v>
      </c>
      <c r="Q282">
        <v>39</v>
      </c>
      <c r="R282" s="8">
        <v>45679</v>
      </c>
      <c r="S282" t="s">
        <v>1360</v>
      </c>
      <c r="T282" s="33">
        <f t="shared" si="32"/>
        <v>2</v>
      </c>
      <c r="U282" s="33">
        <f t="shared" si="33"/>
        <v>1090.04</v>
      </c>
      <c r="V282" s="33">
        <f t="shared" si="34"/>
        <v>1129.04</v>
      </c>
      <c r="W282" s="36">
        <f t="shared" si="39"/>
        <v>0.2</v>
      </c>
      <c r="X282" s="33">
        <f t="shared" si="35"/>
        <v>903.23199999999997</v>
      </c>
      <c r="Y282" s="33" t="str">
        <f t="shared" si="36"/>
        <v>Jodi Whitney</v>
      </c>
      <c r="Z282" s="33" t="str">
        <f t="shared" si="37"/>
        <v>BeforeTime</v>
      </c>
      <c r="AA282" s="33" t="str">
        <f t="shared" si="38"/>
        <v>yahoo.com</v>
      </c>
    </row>
    <row r="283" spans="1:27" ht="14.25" customHeight="1" x14ac:dyDescent="0.3">
      <c r="A283" t="s">
        <v>236</v>
      </c>
      <c r="B283" t="s">
        <v>66</v>
      </c>
      <c r="C283" t="s">
        <v>237</v>
      </c>
      <c r="D283">
        <v>52</v>
      </c>
      <c r="E283" t="s">
        <v>52</v>
      </c>
      <c r="F283" t="s">
        <v>42</v>
      </c>
      <c r="G283" t="s">
        <v>238</v>
      </c>
      <c r="H283" t="s">
        <v>239</v>
      </c>
      <c r="I283" t="s">
        <v>1361</v>
      </c>
      <c r="J283" s="8">
        <v>45242</v>
      </c>
      <c r="K283" t="s">
        <v>1362</v>
      </c>
      <c r="L283" t="s">
        <v>590</v>
      </c>
      <c r="M283">
        <v>403.03</v>
      </c>
      <c r="N283">
        <v>2</v>
      </c>
      <c r="O283" t="s">
        <v>36</v>
      </c>
      <c r="P283">
        <v>4</v>
      </c>
      <c r="Q283">
        <v>70</v>
      </c>
      <c r="R283" s="8">
        <v>45246</v>
      </c>
      <c r="S283" t="s">
        <v>1363</v>
      </c>
      <c r="T283" s="34">
        <f t="shared" si="32"/>
        <v>4</v>
      </c>
      <c r="U283" s="34">
        <f t="shared" si="33"/>
        <v>806.06</v>
      </c>
      <c r="V283" s="34">
        <f t="shared" si="34"/>
        <v>876.06</v>
      </c>
      <c r="W283" s="36">
        <f t="shared" si="39"/>
        <v>0.08</v>
      </c>
      <c r="X283" s="34">
        <f t="shared" si="35"/>
        <v>805.97519999999997</v>
      </c>
      <c r="Y283" s="34" t="str">
        <f t="shared" si="36"/>
        <v>Angela Evans</v>
      </c>
      <c r="Z283" s="34" t="str">
        <f t="shared" si="37"/>
        <v>Intime</v>
      </c>
      <c r="AA283" s="34" t="str">
        <f t="shared" si="38"/>
        <v>outlook.com</v>
      </c>
    </row>
    <row r="284" spans="1:27" ht="14.25" customHeight="1" x14ac:dyDescent="0.3">
      <c r="A284" t="s">
        <v>1221</v>
      </c>
      <c r="B284" t="s">
        <v>1222</v>
      </c>
      <c r="C284" t="s">
        <v>1223</v>
      </c>
      <c r="D284">
        <v>19</v>
      </c>
      <c r="E284" t="s">
        <v>41</v>
      </c>
      <c r="F284" t="s">
        <v>76</v>
      </c>
      <c r="G284" t="s">
        <v>1224</v>
      </c>
      <c r="H284" t="s">
        <v>1225</v>
      </c>
      <c r="I284" t="s">
        <v>1364</v>
      </c>
      <c r="J284" s="8">
        <v>45201</v>
      </c>
      <c r="K284" t="s">
        <v>1365</v>
      </c>
      <c r="L284" t="s">
        <v>225</v>
      </c>
      <c r="M284">
        <v>461.07</v>
      </c>
      <c r="N284">
        <v>3</v>
      </c>
      <c r="O284" t="s">
        <v>96</v>
      </c>
      <c r="P284">
        <v>1</v>
      </c>
      <c r="Q284">
        <v>61</v>
      </c>
      <c r="R284" s="8">
        <v>45202</v>
      </c>
      <c r="S284" t="s">
        <v>1366</v>
      </c>
      <c r="T284" s="33">
        <f t="shared" si="32"/>
        <v>1</v>
      </c>
      <c r="U284" s="33">
        <f t="shared" si="33"/>
        <v>1383.21</v>
      </c>
      <c r="V284" s="33">
        <f t="shared" si="34"/>
        <v>1444.21</v>
      </c>
      <c r="W284" s="36">
        <f t="shared" si="39"/>
        <v>0.1</v>
      </c>
      <c r="X284" s="33">
        <f t="shared" si="35"/>
        <v>1299.789</v>
      </c>
      <c r="Y284" s="33" t="str">
        <f t="shared" si="36"/>
        <v>Jessica Ruiz</v>
      </c>
      <c r="Z284" s="33" t="str">
        <f t="shared" si="37"/>
        <v>Intime</v>
      </c>
      <c r="AA284" s="33" t="str">
        <f t="shared" si="38"/>
        <v>rediffmail.com</v>
      </c>
    </row>
    <row r="285" spans="1:27" ht="14.25" customHeight="1" x14ac:dyDescent="0.3">
      <c r="A285" t="s">
        <v>1210</v>
      </c>
      <c r="B285" t="s">
        <v>1211</v>
      </c>
      <c r="C285" t="s">
        <v>1212</v>
      </c>
      <c r="D285">
        <v>50</v>
      </c>
      <c r="E285" t="s">
        <v>52</v>
      </c>
      <c r="F285" t="s">
        <v>168</v>
      </c>
      <c r="G285" t="s">
        <v>1213</v>
      </c>
      <c r="H285" t="s">
        <v>1214</v>
      </c>
      <c r="I285" t="s">
        <v>1367</v>
      </c>
      <c r="J285" s="8">
        <v>45522</v>
      </c>
      <c r="K285" t="s">
        <v>1368</v>
      </c>
      <c r="L285" t="s">
        <v>518</v>
      </c>
      <c r="M285">
        <v>441.03</v>
      </c>
      <c r="N285">
        <v>3</v>
      </c>
      <c r="O285" t="s">
        <v>85</v>
      </c>
      <c r="P285">
        <v>4</v>
      </c>
      <c r="Q285">
        <v>40</v>
      </c>
      <c r="R285" s="8">
        <v>45528</v>
      </c>
      <c r="S285" t="s">
        <v>1369</v>
      </c>
      <c r="T285" s="34">
        <f t="shared" si="32"/>
        <v>6</v>
      </c>
      <c r="U285" s="34">
        <f t="shared" si="33"/>
        <v>1323.09</v>
      </c>
      <c r="V285" s="34">
        <f t="shared" si="34"/>
        <v>1363.09</v>
      </c>
      <c r="W285" s="36">
        <f t="shared" si="39"/>
        <v>0.2</v>
      </c>
      <c r="X285" s="34">
        <f t="shared" si="35"/>
        <v>1090.472</v>
      </c>
      <c r="Y285" s="34" t="str">
        <f t="shared" si="36"/>
        <v>Brendan Kelly</v>
      </c>
      <c r="Z285" s="34" t="str">
        <f t="shared" si="37"/>
        <v>Late</v>
      </c>
      <c r="AA285" s="34" t="str">
        <f t="shared" si="38"/>
        <v>rediffmail.com</v>
      </c>
    </row>
    <row r="286" spans="1:27" ht="14.25" customHeight="1" x14ac:dyDescent="0.3">
      <c r="A286" t="s">
        <v>137</v>
      </c>
      <c r="B286" t="s">
        <v>138</v>
      </c>
      <c r="C286" t="s">
        <v>139</v>
      </c>
      <c r="D286">
        <v>25</v>
      </c>
      <c r="E286" t="s">
        <v>52</v>
      </c>
      <c r="F286" t="s">
        <v>140</v>
      </c>
      <c r="G286" t="s">
        <v>141</v>
      </c>
      <c r="H286" t="s">
        <v>142</v>
      </c>
      <c r="I286" t="s">
        <v>1370</v>
      </c>
      <c r="J286" s="8">
        <v>45090</v>
      </c>
      <c r="K286" t="s">
        <v>1371</v>
      </c>
      <c r="L286" t="s">
        <v>135</v>
      </c>
      <c r="M286">
        <v>175.93</v>
      </c>
      <c r="N286">
        <v>4</v>
      </c>
      <c r="O286" t="s">
        <v>85</v>
      </c>
      <c r="P286">
        <v>6</v>
      </c>
      <c r="Q286">
        <v>45</v>
      </c>
      <c r="R286" s="8">
        <v>45097</v>
      </c>
      <c r="S286" t="s">
        <v>1372</v>
      </c>
      <c r="T286" s="33">
        <f t="shared" si="32"/>
        <v>7</v>
      </c>
      <c r="U286" s="33">
        <f t="shared" si="33"/>
        <v>703.72</v>
      </c>
      <c r="V286" s="33">
        <f t="shared" si="34"/>
        <v>748.72</v>
      </c>
      <c r="W286" s="36">
        <f t="shared" si="39"/>
        <v>0.2</v>
      </c>
      <c r="X286" s="33">
        <f t="shared" si="35"/>
        <v>598.976</v>
      </c>
      <c r="Y286" s="33" t="str">
        <f t="shared" si="36"/>
        <v>Kara Brennan</v>
      </c>
      <c r="Z286" s="33" t="str">
        <f t="shared" si="37"/>
        <v>Late</v>
      </c>
      <c r="AA286" s="33" t="str">
        <f t="shared" si="38"/>
        <v>outlook.com</v>
      </c>
    </row>
    <row r="287" spans="1:27" ht="14.25" customHeight="1" x14ac:dyDescent="0.3">
      <c r="A287" t="s">
        <v>1221</v>
      </c>
      <c r="B287" t="s">
        <v>1222</v>
      </c>
      <c r="C287" t="s">
        <v>1223</v>
      </c>
      <c r="D287">
        <v>19</v>
      </c>
      <c r="E287" t="s">
        <v>41</v>
      </c>
      <c r="F287" t="s">
        <v>76</v>
      </c>
      <c r="G287" t="s">
        <v>1224</v>
      </c>
      <c r="H287" t="s">
        <v>1225</v>
      </c>
      <c r="I287" t="s">
        <v>1373</v>
      </c>
      <c r="J287" s="8">
        <v>45049</v>
      </c>
      <c r="K287" t="s">
        <v>1374</v>
      </c>
      <c r="L287" t="s">
        <v>430</v>
      </c>
      <c r="M287">
        <v>369.03</v>
      </c>
      <c r="N287">
        <v>3</v>
      </c>
      <c r="O287" t="s">
        <v>36</v>
      </c>
      <c r="P287">
        <v>6</v>
      </c>
      <c r="Q287">
        <v>50</v>
      </c>
      <c r="R287" s="8">
        <v>45052</v>
      </c>
      <c r="S287" t="s">
        <v>1375</v>
      </c>
      <c r="T287" s="34">
        <f t="shared" si="32"/>
        <v>3</v>
      </c>
      <c r="U287" s="34">
        <f t="shared" si="33"/>
        <v>1107.0899999999999</v>
      </c>
      <c r="V287" s="34">
        <f t="shared" si="34"/>
        <v>1157.0899999999999</v>
      </c>
      <c r="W287" s="36">
        <f t="shared" si="39"/>
        <v>0.08</v>
      </c>
      <c r="X287" s="34">
        <f t="shared" si="35"/>
        <v>1064.5228</v>
      </c>
      <c r="Y287" s="34" t="str">
        <f t="shared" si="36"/>
        <v>Jessica Ruiz</v>
      </c>
      <c r="Z287" s="34" t="str">
        <f t="shared" si="37"/>
        <v>BeforeTime</v>
      </c>
      <c r="AA287" s="34" t="str">
        <f t="shared" si="38"/>
        <v>rediffmail.com</v>
      </c>
    </row>
    <row r="288" spans="1:27" ht="14.25" customHeight="1" x14ac:dyDescent="0.3">
      <c r="A288" t="s">
        <v>716</v>
      </c>
      <c r="B288" t="s">
        <v>717</v>
      </c>
      <c r="C288" t="s">
        <v>718</v>
      </c>
      <c r="D288">
        <v>32</v>
      </c>
      <c r="E288" t="s">
        <v>41</v>
      </c>
      <c r="F288" t="s">
        <v>30</v>
      </c>
      <c r="G288" t="s">
        <v>719</v>
      </c>
      <c r="H288" t="s">
        <v>720</v>
      </c>
      <c r="I288" t="s">
        <v>1376</v>
      </c>
      <c r="J288" s="8">
        <v>45676</v>
      </c>
      <c r="K288" t="s">
        <v>1377</v>
      </c>
      <c r="L288" t="s">
        <v>323</v>
      </c>
      <c r="M288">
        <v>481.48</v>
      </c>
      <c r="N288">
        <v>2</v>
      </c>
      <c r="O288" t="s">
        <v>85</v>
      </c>
      <c r="P288">
        <v>3</v>
      </c>
      <c r="Q288">
        <v>58</v>
      </c>
      <c r="R288" s="8">
        <v>45683</v>
      </c>
      <c r="S288" t="s">
        <v>1378</v>
      </c>
      <c r="T288" s="33">
        <f t="shared" si="32"/>
        <v>7</v>
      </c>
      <c r="U288" s="33">
        <f t="shared" si="33"/>
        <v>962.96</v>
      </c>
      <c r="V288" s="33">
        <f t="shared" si="34"/>
        <v>1020.96</v>
      </c>
      <c r="W288" s="36">
        <f t="shared" si="39"/>
        <v>0.2</v>
      </c>
      <c r="X288" s="33">
        <f t="shared" si="35"/>
        <v>816.76800000000003</v>
      </c>
      <c r="Y288" s="33" t="str">
        <f t="shared" si="36"/>
        <v>Bruce Allen</v>
      </c>
      <c r="Z288" s="33" t="str">
        <f t="shared" si="37"/>
        <v>Late</v>
      </c>
      <c r="AA288" s="33" t="str">
        <f t="shared" si="38"/>
        <v>rediffmail.com</v>
      </c>
    </row>
    <row r="289" spans="1:27" ht="14.25" customHeight="1" x14ac:dyDescent="0.3">
      <c r="A289" t="s">
        <v>986</v>
      </c>
      <c r="B289" t="s">
        <v>987</v>
      </c>
      <c r="C289" t="s">
        <v>988</v>
      </c>
      <c r="D289">
        <v>49</v>
      </c>
      <c r="E289" t="s">
        <v>29</v>
      </c>
      <c r="F289" t="s">
        <v>42</v>
      </c>
      <c r="G289" t="s">
        <v>989</v>
      </c>
      <c r="H289" t="s">
        <v>990</v>
      </c>
      <c r="I289" t="s">
        <v>1379</v>
      </c>
      <c r="J289" s="8">
        <v>45092</v>
      </c>
      <c r="K289" t="s">
        <v>1380</v>
      </c>
      <c r="L289" t="s">
        <v>553</v>
      </c>
      <c r="M289">
        <v>425.59</v>
      </c>
      <c r="N289">
        <v>3</v>
      </c>
      <c r="O289" t="s">
        <v>36</v>
      </c>
      <c r="P289">
        <v>6</v>
      </c>
      <c r="Q289">
        <v>55</v>
      </c>
      <c r="R289" s="8">
        <v>45099</v>
      </c>
      <c r="S289" t="s">
        <v>1381</v>
      </c>
      <c r="T289" s="34">
        <f t="shared" si="32"/>
        <v>7</v>
      </c>
      <c r="U289" s="34">
        <f t="shared" si="33"/>
        <v>1276.77</v>
      </c>
      <c r="V289" s="34">
        <f t="shared" si="34"/>
        <v>1331.77</v>
      </c>
      <c r="W289" s="36">
        <f t="shared" si="39"/>
        <v>0.08</v>
      </c>
      <c r="X289" s="34">
        <f t="shared" si="35"/>
        <v>1225.2284</v>
      </c>
      <c r="Y289" s="34" t="str">
        <f t="shared" si="36"/>
        <v>Natasha Michael</v>
      </c>
      <c r="Z289" s="34" t="str">
        <f t="shared" si="37"/>
        <v>Late</v>
      </c>
      <c r="AA289" s="34" t="str">
        <f t="shared" si="38"/>
        <v>gmail.com</v>
      </c>
    </row>
    <row r="290" spans="1:27" ht="14.25" customHeight="1" x14ac:dyDescent="0.3">
      <c r="A290" t="s">
        <v>333</v>
      </c>
      <c r="B290" t="s">
        <v>334</v>
      </c>
      <c r="C290" t="s">
        <v>335</v>
      </c>
      <c r="D290">
        <v>23</v>
      </c>
      <c r="E290" t="s">
        <v>29</v>
      </c>
      <c r="F290" t="s">
        <v>30</v>
      </c>
      <c r="G290" t="s">
        <v>336</v>
      </c>
      <c r="H290" t="s">
        <v>337</v>
      </c>
      <c r="I290" t="s">
        <v>1382</v>
      </c>
      <c r="J290" s="8">
        <v>45659</v>
      </c>
      <c r="K290" t="s">
        <v>1383</v>
      </c>
      <c r="L290" t="s">
        <v>984</v>
      </c>
      <c r="M290">
        <v>33.49</v>
      </c>
      <c r="N290">
        <v>2</v>
      </c>
      <c r="O290" t="s">
        <v>36</v>
      </c>
      <c r="P290">
        <v>2</v>
      </c>
      <c r="Q290">
        <v>45</v>
      </c>
      <c r="R290" s="8">
        <v>45660</v>
      </c>
      <c r="S290" t="s">
        <v>1384</v>
      </c>
      <c r="T290" s="33">
        <f t="shared" si="32"/>
        <v>1</v>
      </c>
      <c r="U290" s="33">
        <f t="shared" si="33"/>
        <v>66.98</v>
      </c>
      <c r="V290" s="33">
        <f t="shared" si="34"/>
        <v>111.98</v>
      </c>
      <c r="W290" s="36">
        <f t="shared" si="39"/>
        <v>0.08</v>
      </c>
      <c r="X290" s="33">
        <f t="shared" si="35"/>
        <v>103.02160000000001</v>
      </c>
      <c r="Y290" s="33" t="str">
        <f t="shared" si="36"/>
        <v>Julie Meyer</v>
      </c>
      <c r="Z290" s="33" t="str">
        <f t="shared" si="37"/>
        <v>BeforeTime</v>
      </c>
      <c r="AA290" s="33" t="str">
        <f t="shared" si="38"/>
        <v>yahoo.com</v>
      </c>
    </row>
    <row r="291" spans="1:27" ht="14.25" customHeight="1" x14ac:dyDescent="0.3">
      <c r="A291" t="s">
        <v>490</v>
      </c>
      <c r="B291" t="s">
        <v>186</v>
      </c>
      <c r="C291" t="s">
        <v>327</v>
      </c>
      <c r="D291">
        <v>39</v>
      </c>
      <c r="E291" t="s">
        <v>52</v>
      </c>
      <c r="F291" t="s">
        <v>42</v>
      </c>
      <c r="G291" t="s">
        <v>491</v>
      </c>
      <c r="H291" t="s">
        <v>492</v>
      </c>
      <c r="I291" t="s">
        <v>1385</v>
      </c>
      <c r="J291" s="8">
        <v>45024</v>
      </c>
      <c r="K291" t="s">
        <v>1386</v>
      </c>
      <c r="L291" t="s">
        <v>62</v>
      </c>
      <c r="M291">
        <v>405</v>
      </c>
      <c r="N291">
        <v>4</v>
      </c>
      <c r="O291" t="s">
        <v>96</v>
      </c>
      <c r="P291">
        <v>7</v>
      </c>
      <c r="Q291">
        <v>70</v>
      </c>
      <c r="R291" s="8">
        <v>45029</v>
      </c>
      <c r="S291" t="s">
        <v>1387</v>
      </c>
      <c r="T291" s="34">
        <f t="shared" si="32"/>
        <v>5</v>
      </c>
      <c r="U291" s="34">
        <f t="shared" si="33"/>
        <v>1620</v>
      </c>
      <c r="V291" s="34">
        <f t="shared" si="34"/>
        <v>1690</v>
      </c>
      <c r="W291" s="36">
        <f t="shared" si="39"/>
        <v>0.1</v>
      </c>
      <c r="X291" s="34">
        <f t="shared" si="35"/>
        <v>1521</v>
      </c>
      <c r="Y291" s="34" t="str">
        <f t="shared" si="36"/>
        <v>Mitchell Parker</v>
      </c>
      <c r="Z291" s="34" t="str">
        <f t="shared" si="37"/>
        <v>BeforeTime</v>
      </c>
      <c r="AA291" s="34" t="str">
        <f t="shared" si="38"/>
        <v>yahoo.com</v>
      </c>
    </row>
    <row r="292" spans="1:27" ht="14.25" customHeight="1" x14ac:dyDescent="0.3">
      <c r="A292" t="s">
        <v>401</v>
      </c>
      <c r="B292" t="s">
        <v>402</v>
      </c>
      <c r="C292" t="s">
        <v>403</v>
      </c>
      <c r="D292">
        <v>70</v>
      </c>
      <c r="E292" t="s">
        <v>29</v>
      </c>
      <c r="F292" t="s">
        <v>30</v>
      </c>
      <c r="G292" t="s">
        <v>404</v>
      </c>
      <c r="H292" t="s">
        <v>405</v>
      </c>
      <c r="I292" t="s">
        <v>1388</v>
      </c>
      <c r="J292" s="8">
        <v>45455</v>
      </c>
      <c r="K292" t="s">
        <v>1389</v>
      </c>
      <c r="L292" t="s">
        <v>323</v>
      </c>
      <c r="M292">
        <v>481.48</v>
      </c>
      <c r="N292">
        <v>3</v>
      </c>
      <c r="O292" t="s">
        <v>85</v>
      </c>
      <c r="P292">
        <v>5</v>
      </c>
      <c r="Q292">
        <v>49</v>
      </c>
      <c r="R292" s="8">
        <v>45462</v>
      </c>
      <c r="S292" t="s">
        <v>1390</v>
      </c>
      <c r="T292" s="33">
        <f t="shared" si="32"/>
        <v>7</v>
      </c>
      <c r="U292" s="33">
        <f t="shared" si="33"/>
        <v>1444.44</v>
      </c>
      <c r="V292" s="33">
        <f t="shared" si="34"/>
        <v>1493.44</v>
      </c>
      <c r="W292" s="36">
        <f t="shared" si="39"/>
        <v>0.2</v>
      </c>
      <c r="X292" s="33">
        <f t="shared" si="35"/>
        <v>1194.7520000000002</v>
      </c>
      <c r="Y292" s="33" t="str">
        <f t="shared" si="36"/>
        <v>Alexandra Smith</v>
      </c>
      <c r="Z292" s="33" t="str">
        <f t="shared" si="37"/>
        <v>Late</v>
      </c>
      <c r="AA292" s="33" t="str">
        <f t="shared" si="38"/>
        <v>rediffmail.com</v>
      </c>
    </row>
    <row r="293" spans="1:27" ht="14.25" customHeight="1" x14ac:dyDescent="0.3">
      <c r="A293" t="s">
        <v>393</v>
      </c>
      <c r="B293" t="s">
        <v>394</v>
      </c>
      <c r="C293" t="s">
        <v>395</v>
      </c>
      <c r="D293">
        <v>40</v>
      </c>
      <c r="E293" t="s">
        <v>52</v>
      </c>
      <c r="F293" t="s">
        <v>168</v>
      </c>
      <c r="G293" t="s">
        <v>396</v>
      </c>
      <c r="H293" t="s">
        <v>397</v>
      </c>
      <c r="I293" t="s">
        <v>1391</v>
      </c>
      <c r="J293" s="8">
        <v>45058</v>
      </c>
      <c r="K293" t="s">
        <v>1392</v>
      </c>
      <c r="L293" t="s">
        <v>563</v>
      </c>
      <c r="M293">
        <v>133.62</v>
      </c>
      <c r="N293">
        <v>2</v>
      </c>
      <c r="O293" t="s">
        <v>96</v>
      </c>
      <c r="P293">
        <v>4</v>
      </c>
      <c r="Q293">
        <v>36</v>
      </c>
      <c r="R293" s="8">
        <v>45059</v>
      </c>
      <c r="S293" t="s">
        <v>1393</v>
      </c>
      <c r="T293" s="34">
        <f t="shared" si="32"/>
        <v>1</v>
      </c>
      <c r="U293" s="34">
        <f t="shared" si="33"/>
        <v>267.24</v>
      </c>
      <c r="V293" s="34">
        <f t="shared" si="34"/>
        <v>303.24</v>
      </c>
      <c r="W293" s="36">
        <f t="shared" si="39"/>
        <v>0.1</v>
      </c>
      <c r="X293" s="34">
        <f t="shared" si="35"/>
        <v>272.916</v>
      </c>
      <c r="Y293" s="34" t="str">
        <f t="shared" si="36"/>
        <v>Jason Lopez</v>
      </c>
      <c r="Z293" s="34" t="str">
        <f t="shared" si="37"/>
        <v>BeforeTime</v>
      </c>
      <c r="AA293" s="34" t="str">
        <f t="shared" si="38"/>
        <v>outlook.com</v>
      </c>
    </row>
    <row r="294" spans="1:27" ht="14.25" customHeight="1" x14ac:dyDescent="0.3">
      <c r="A294" t="s">
        <v>1079</v>
      </c>
      <c r="B294" t="s">
        <v>218</v>
      </c>
      <c r="C294" t="s">
        <v>1080</v>
      </c>
      <c r="D294">
        <v>55</v>
      </c>
      <c r="E294" t="s">
        <v>41</v>
      </c>
      <c r="F294" t="s">
        <v>159</v>
      </c>
      <c r="G294" t="s">
        <v>1081</v>
      </c>
      <c r="H294" t="s">
        <v>1082</v>
      </c>
      <c r="I294" t="s">
        <v>1394</v>
      </c>
      <c r="J294" s="8">
        <v>45414</v>
      </c>
      <c r="K294" t="s">
        <v>1395</v>
      </c>
      <c r="L294" t="s">
        <v>270</v>
      </c>
      <c r="M294">
        <v>62.42</v>
      </c>
      <c r="N294">
        <v>4</v>
      </c>
      <c r="O294" t="s">
        <v>96</v>
      </c>
      <c r="P294">
        <v>6</v>
      </c>
      <c r="Q294">
        <v>43</v>
      </c>
      <c r="R294" s="8">
        <v>45420</v>
      </c>
      <c r="S294" t="s">
        <v>1396</v>
      </c>
      <c r="T294" s="33">
        <f t="shared" si="32"/>
        <v>6</v>
      </c>
      <c r="U294" s="33">
        <f t="shared" si="33"/>
        <v>249.68</v>
      </c>
      <c r="V294" s="33">
        <f t="shared" si="34"/>
        <v>292.68</v>
      </c>
      <c r="W294" s="36">
        <f t="shared" si="39"/>
        <v>0.1</v>
      </c>
      <c r="X294" s="33">
        <f t="shared" si="35"/>
        <v>263.41200000000003</v>
      </c>
      <c r="Y294" s="33" t="str">
        <f t="shared" si="36"/>
        <v>Mark Summers</v>
      </c>
      <c r="Z294" s="33" t="str">
        <f t="shared" si="37"/>
        <v>Intime</v>
      </c>
      <c r="AA294" s="33" t="str">
        <f t="shared" si="38"/>
        <v>outlook.com</v>
      </c>
    </row>
    <row r="295" spans="1:27" ht="14.25" customHeight="1" x14ac:dyDescent="0.3">
      <c r="A295" t="s">
        <v>1168</v>
      </c>
      <c r="B295" t="s">
        <v>1169</v>
      </c>
      <c r="C295" t="s">
        <v>1170</v>
      </c>
      <c r="D295">
        <v>59</v>
      </c>
      <c r="E295" t="s">
        <v>52</v>
      </c>
      <c r="F295" t="s">
        <v>168</v>
      </c>
      <c r="G295" t="s">
        <v>1171</v>
      </c>
      <c r="H295" t="s">
        <v>1172</v>
      </c>
      <c r="I295" t="s">
        <v>1397</v>
      </c>
      <c r="J295" s="8">
        <v>45527</v>
      </c>
      <c r="K295" t="s">
        <v>1398</v>
      </c>
      <c r="L295" t="s">
        <v>356</v>
      </c>
      <c r="M295">
        <v>496.59</v>
      </c>
      <c r="N295">
        <v>2</v>
      </c>
      <c r="O295" t="s">
        <v>36</v>
      </c>
      <c r="P295">
        <v>3</v>
      </c>
      <c r="Q295">
        <v>55</v>
      </c>
      <c r="R295" s="8">
        <v>45528</v>
      </c>
      <c r="S295" t="s">
        <v>1399</v>
      </c>
      <c r="T295" s="34">
        <f t="shared" si="32"/>
        <v>1</v>
      </c>
      <c r="U295" s="34">
        <f t="shared" si="33"/>
        <v>993.18</v>
      </c>
      <c r="V295" s="34">
        <f t="shared" si="34"/>
        <v>1048.1799999999998</v>
      </c>
      <c r="W295" s="36">
        <f t="shared" si="39"/>
        <v>0.08</v>
      </c>
      <c r="X295" s="34">
        <f t="shared" si="35"/>
        <v>964.32559999999989</v>
      </c>
      <c r="Y295" s="34" t="str">
        <f t="shared" si="36"/>
        <v>Mike Carter</v>
      </c>
      <c r="Z295" s="34" t="str">
        <f t="shared" si="37"/>
        <v>BeforeTime</v>
      </c>
      <c r="AA295" s="34" t="str">
        <f t="shared" si="38"/>
        <v>rediffmail.com</v>
      </c>
    </row>
    <row r="296" spans="1:27" ht="14.25" customHeight="1" x14ac:dyDescent="0.3">
      <c r="A296" t="s">
        <v>520</v>
      </c>
      <c r="B296" t="s">
        <v>521</v>
      </c>
      <c r="C296" t="s">
        <v>522</v>
      </c>
      <c r="D296">
        <v>42</v>
      </c>
      <c r="E296" t="s">
        <v>52</v>
      </c>
      <c r="F296" t="s">
        <v>76</v>
      </c>
      <c r="G296" t="s">
        <v>523</v>
      </c>
      <c r="H296" t="s">
        <v>524</v>
      </c>
      <c r="I296" t="s">
        <v>1400</v>
      </c>
      <c r="J296" s="8">
        <v>45233</v>
      </c>
      <c r="K296" t="s">
        <v>1401</v>
      </c>
      <c r="L296" t="s">
        <v>383</v>
      </c>
      <c r="M296">
        <v>431.44</v>
      </c>
      <c r="N296">
        <v>4</v>
      </c>
      <c r="O296" t="s">
        <v>63</v>
      </c>
      <c r="P296">
        <v>3</v>
      </c>
      <c r="Q296">
        <v>65</v>
      </c>
      <c r="R296" s="8">
        <v>45239</v>
      </c>
      <c r="S296" t="s">
        <v>1402</v>
      </c>
      <c r="T296" s="33">
        <f t="shared" si="32"/>
        <v>6</v>
      </c>
      <c r="U296" s="33">
        <f t="shared" si="33"/>
        <v>1725.76</v>
      </c>
      <c r="V296" s="33">
        <f t="shared" si="34"/>
        <v>1790.76</v>
      </c>
      <c r="W296" s="36">
        <f t="shared" si="39"/>
        <v>0</v>
      </c>
      <c r="X296" s="33">
        <f t="shared" si="35"/>
        <v>1790.76</v>
      </c>
      <c r="Y296" s="33" t="str">
        <f t="shared" si="36"/>
        <v>Katherine Weber</v>
      </c>
      <c r="Z296" s="33" t="str">
        <f t="shared" si="37"/>
        <v>Late</v>
      </c>
      <c r="AA296" s="33" t="str">
        <f t="shared" si="38"/>
        <v>outlook.com</v>
      </c>
    </row>
    <row r="297" spans="1:27" ht="14.25" customHeight="1" x14ac:dyDescent="0.3">
      <c r="A297" t="s">
        <v>385</v>
      </c>
      <c r="B297" t="s">
        <v>386</v>
      </c>
      <c r="C297" t="s">
        <v>387</v>
      </c>
      <c r="D297">
        <v>47</v>
      </c>
      <c r="E297" t="s">
        <v>41</v>
      </c>
      <c r="F297" t="s">
        <v>90</v>
      </c>
      <c r="G297" t="s">
        <v>388</v>
      </c>
      <c r="H297" t="s">
        <v>389</v>
      </c>
      <c r="I297" t="s">
        <v>1403</v>
      </c>
      <c r="J297" s="8">
        <v>45513</v>
      </c>
      <c r="K297" t="s">
        <v>1404</v>
      </c>
      <c r="L297" t="s">
        <v>686</v>
      </c>
      <c r="M297">
        <v>424.82</v>
      </c>
      <c r="N297">
        <v>2</v>
      </c>
      <c r="O297" t="s">
        <v>63</v>
      </c>
      <c r="P297">
        <v>2</v>
      </c>
      <c r="Q297">
        <v>57</v>
      </c>
      <c r="R297" s="8">
        <v>45520</v>
      </c>
      <c r="S297" t="s">
        <v>1405</v>
      </c>
      <c r="T297" s="34">
        <f t="shared" si="32"/>
        <v>7</v>
      </c>
      <c r="U297" s="34">
        <f t="shared" si="33"/>
        <v>849.64</v>
      </c>
      <c r="V297" s="34">
        <f t="shared" si="34"/>
        <v>906.64</v>
      </c>
      <c r="W297" s="36">
        <f t="shared" si="39"/>
        <v>0</v>
      </c>
      <c r="X297" s="34">
        <f t="shared" si="35"/>
        <v>906.64</v>
      </c>
      <c r="Y297" s="34" t="str">
        <f t="shared" si="36"/>
        <v>Aaron Thompson</v>
      </c>
      <c r="Z297" s="34" t="str">
        <f t="shared" si="37"/>
        <v>Late</v>
      </c>
      <c r="AA297" s="34" t="str">
        <f t="shared" si="38"/>
        <v>gmail.com</v>
      </c>
    </row>
    <row r="298" spans="1:27" ht="14.25" customHeight="1" x14ac:dyDescent="0.3">
      <c r="A298" t="s">
        <v>1079</v>
      </c>
      <c r="B298" t="s">
        <v>218</v>
      </c>
      <c r="C298" t="s">
        <v>1080</v>
      </c>
      <c r="D298">
        <v>55</v>
      </c>
      <c r="E298" t="s">
        <v>41</v>
      </c>
      <c r="F298" t="s">
        <v>159</v>
      </c>
      <c r="G298" t="s">
        <v>1081</v>
      </c>
      <c r="H298" t="s">
        <v>1082</v>
      </c>
      <c r="I298" t="s">
        <v>1406</v>
      </c>
      <c r="J298" s="8">
        <v>45567</v>
      </c>
      <c r="K298" t="s">
        <v>1407</v>
      </c>
      <c r="L298" t="s">
        <v>495</v>
      </c>
      <c r="M298">
        <v>421.7</v>
      </c>
      <c r="N298">
        <v>3</v>
      </c>
      <c r="O298" t="s">
        <v>36</v>
      </c>
      <c r="P298">
        <v>5</v>
      </c>
      <c r="Q298">
        <v>54</v>
      </c>
      <c r="R298" s="8">
        <v>45571</v>
      </c>
      <c r="S298" t="s">
        <v>1408</v>
      </c>
      <c r="T298" s="33">
        <f t="shared" si="32"/>
        <v>4</v>
      </c>
      <c r="U298" s="33">
        <f t="shared" si="33"/>
        <v>1265.0999999999999</v>
      </c>
      <c r="V298" s="33">
        <f t="shared" si="34"/>
        <v>1319.1</v>
      </c>
      <c r="W298" s="36">
        <f t="shared" si="39"/>
        <v>0.08</v>
      </c>
      <c r="X298" s="33">
        <f t="shared" si="35"/>
        <v>1213.5719999999999</v>
      </c>
      <c r="Y298" s="33" t="str">
        <f t="shared" si="36"/>
        <v>Mark Summers</v>
      </c>
      <c r="Z298" s="33" t="str">
        <f t="shared" si="37"/>
        <v>BeforeTime</v>
      </c>
      <c r="AA298" s="33" t="str">
        <f t="shared" si="38"/>
        <v>outlook.com</v>
      </c>
    </row>
    <row r="299" spans="1:27" ht="14.25" customHeight="1" x14ac:dyDescent="0.3">
      <c r="A299" t="s">
        <v>1238</v>
      </c>
      <c r="B299" t="s">
        <v>1239</v>
      </c>
      <c r="C299" t="s">
        <v>1240</v>
      </c>
      <c r="D299">
        <v>55</v>
      </c>
      <c r="E299" t="s">
        <v>41</v>
      </c>
      <c r="F299" t="s">
        <v>159</v>
      </c>
      <c r="G299" t="s">
        <v>1241</v>
      </c>
      <c r="H299" t="s">
        <v>1242</v>
      </c>
      <c r="I299" t="s">
        <v>1409</v>
      </c>
      <c r="J299" s="8">
        <v>45157</v>
      </c>
      <c r="K299" t="s">
        <v>1410</v>
      </c>
      <c r="L299" t="s">
        <v>344</v>
      </c>
      <c r="M299">
        <v>372.62</v>
      </c>
      <c r="N299">
        <v>1</v>
      </c>
      <c r="O299" t="s">
        <v>96</v>
      </c>
      <c r="P299">
        <v>5</v>
      </c>
      <c r="Q299">
        <v>45</v>
      </c>
      <c r="R299" s="8">
        <v>45164</v>
      </c>
      <c r="S299" t="s">
        <v>1411</v>
      </c>
      <c r="T299" s="34">
        <f t="shared" si="32"/>
        <v>7</v>
      </c>
      <c r="U299" s="34">
        <f t="shared" si="33"/>
        <v>372.62</v>
      </c>
      <c r="V299" s="34">
        <f t="shared" si="34"/>
        <v>417.62</v>
      </c>
      <c r="W299" s="36">
        <f t="shared" si="39"/>
        <v>0.1</v>
      </c>
      <c r="X299" s="34">
        <f t="shared" si="35"/>
        <v>375.858</v>
      </c>
      <c r="Y299" s="34" t="str">
        <f t="shared" si="36"/>
        <v>Hannah Gutierrez</v>
      </c>
      <c r="Z299" s="34" t="str">
        <f t="shared" si="37"/>
        <v>Late</v>
      </c>
      <c r="AA299" s="34" t="str">
        <f t="shared" si="38"/>
        <v>yahoo.com</v>
      </c>
    </row>
    <row r="300" spans="1:27" ht="14.25" customHeight="1" x14ac:dyDescent="0.3">
      <c r="A300" t="s">
        <v>1210</v>
      </c>
      <c r="B300" t="s">
        <v>1211</v>
      </c>
      <c r="C300" t="s">
        <v>1212</v>
      </c>
      <c r="D300">
        <v>50</v>
      </c>
      <c r="E300" t="s">
        <v>52</v>
      </c>
      <c r="F300" t="s">
        <v>168</v>
      </c>
      <c r="G300" t="s">
        <v>1213</v>
      </c>
      <c r="H300" t="s">
        <v>1214</v>
      </c>
      <c r="I300" t="s">
        <v>1412</v>
      </c>
      <c r="J300" s="8">
        <v>45557</v>
      </c>
      <c r="K300" t="s">
        <v>1413</v>
      </c>
      <c r="L300" t="s">
        <v>182</v>
      </c>
      <c r="M300">
        <v>104.18</v>
      </c>
      <c r="N300">
        <v>1</v>
      </c>
      <c r="O300" t="s">
        <v>36</v>
      </c>
      <c r="P300">
        <v>3</v>
      </c>
      <c r="Q300">
        <v>60</v>
      </c>
      <c r="R300" s="8">
        <v>45563</v>
      </c>
      <c r="S300" t="s">
        <v>1414</v>
      </c>
      <c r="T300" s="33">
        <f t="shared" si="32"/>
        <v>6</v>
      </c>
      <c r="U300" s="33">
        <f t="shared" si="33"/>
        <v>104.18</v>
      </c>
      <c r="V300" s="33">
        <f t="shared" si="34"/>
        <v>164.18</v>
      </c>
      <c r="W300" s="36">
        <f t="shared" si="39"/>
        <v>0.08</v>
      </c>
      <c r="X300" s="33">
        <f t="shared" si="35"/>
        <v>151.04560000000001</v>
      </c>
      <c r="Y300" s="33" t="str">
        <f t="shared" si="36"/>
        <v>Brendan Kelly</v>
      </c>
      <c r="Z300" s="33" t="str">
        <f t="shared" si="37"/>
        <v>Late</v>
      </c>
      <c r="AA300" s="33" t="str">
        <f t="shared" si="38"/>
        <v>rediffmail.com</v>
      </c>
    </row>
    <row r="301" spans="1:27" ht="14.25" customHeight="1" x14ac:dyDescent="0.3">
      <c r="A301" t="s">
        <v>839</v>
      </c>
      <c r="B301" t="s">
        <v>840</v>
      </c>
      <c r="C301" t="s">
        <v>841</v>
      </c>
      <c r="D301">
        <v>26</v>
      </c>
      <c r="E301" t="s">
        <v>41</v>
      </c>
      <c r="F301" t="s">
        <v>159</v>
      </c>
      <c r="G301" t="s">
        <v>842</v>
      </c>
      <c r="H301" t="s">
        <v>843</v>
      </c>
      <c r="I301" t="s">
        <v>1415</v>
      </c>
      <c r="J301" s="8">
        <v>45104</v>
      </c>
      <c r="K301" t="s">
        <v>1416</v>
      </c>
      <c r="L301" t="s">
        <v>135</v>
      </c>
      <c r="M301">
        <v>175.93</v>
      </c>
      <c r="N301">
        <v>2</v>
      </c>
      <c r="O301" t="s">
        <v>36</v>
      </c>
      <c r="P301">
        <v>5</v>
      </c>
      <c r="Q301">
        <v>49</v>
      </c>
      <c r="R301" s="8">
        <v>45106</v>
      </c>
      <c r="S301" t="s">
        <v>1417</v>
      </c>
      <c r="T301" s="34">
        <f t="shared" si="32"/>
        <v>2</v>
      </c>
      <c r="U301" s="34">
        <f t="shared" si="33"/>
        <v>351.86</v>
      </c>
      <c r="V301" s="34">
        <f t="shared" si="34"/>
        <v>400.86</v>
      </c>
      <c r="W301" s="36">
        <f t="shared" si="39"/>
        <v>0.08</v>
      </c>
      <c r="X301" s="34">
        <f t="shared" si="35"/>
        <v>368.7912</v>
      </c>
      <c r="Y301" s="34" t="str">
        <f t="shared" si="36"/>
        <v>Leslie Montgomery</v>
      </c>
      <c r="Z301" s="34" t="str">
        <f t="shared" si="37"/>
        <v>BeforeTime</v>
      </c>
      <c r="AA301" s="34" t="str">
        <f t="shared" si="38"/>
        <v>gmail.com</v>
      </c>
    </row>
    <row r="302" spans="1:27" ht="14.25" customHeight="1" x14ac:dyDescent="0.3">
      <c r="A302" t="s">
        <v>1103</v>
      </c>
      <c r="B302" t="s">
        <v>1104</v>
      </c>
      <c r="C302" t="s">
        <v>1105</v>
      </c>
      <c r="D302">
        <v>18</v>
      </c>
      <c r="E302" t="s">
        <v>29</v>
      </c>
      <c r="F302" t="s">
        <v>76</v>
      </c>
      <c r="G302" t="s">
        <v>1106</v>
      </c>
      <c r="H302" t="s">
        <v>1107</v>
      </c>
      <c r="I302" t="s">
        <v>1418</v>
      </c>
      <c r="J302" s="8">
        <v>45563</v>
      </c>
      <c r="K302" t="s">
        <v>1419</v>
      </c>
      <c r="L302" t="s">
        <v>270</v>
      </c>
      <c r="M302">
        <v>62.42</v>
      </c>
      <c r="N302">
        <v>1</v>
      </c>
      <c r="O302" t="s">
        <v>36</v>
      </c>
      <c r="P302">
        <v>3</v>
      </c>
      <c r="Q302">
        <v>46</v>
      </c>
      <c r="R302" s="8">
        <v>45565</v>
      </c>
      <c r="S302" t="s">
        <v>1420</v>
      </c>
      <c r="T302" s="33">
        <f t="shared" si="32"/>
        <v>2</v>
      </c>
      <c r="U302" s="33">
        <f t="shared" si="33"/>
        <v>62.42</v>
      </c>
      <c r="V302" s="33">
        <f t="shared" si="34"/>
        <v>108.42</v>
      </c>
      <c r="W302" s="36">
        <f t="shared" si="39"/>
        <v>0.08</v>
      </c>
      <c r="X302" s="33">
        <f t="shared" si="35"/>
        <v>99.746400000000008</v>
      </c>
      <c r="Y302" s="33" t="str">
        <f t="shared" si="36"/>
        <v>Gary Huff</v>
      </c>
      <c r="Z302" s="33" t="str">
        <f t="shared" si="37"/>
        <v>BeforeTime</v>
      </c>
      <c r="AA302" s="33" t="str">
        <f t="shared" si="38"/>
        <v>gmail.com</v>
      </c>
    </row>
    <row r="303" spans="1:27" ht="14.25" customHeight="1" x14ac:dyDescent="0.3">
      <c r="A303" t="s">
        <v>420</v>
      </c>
      <c r="B303" t="s">
        <v>421</v>
      </c>
      <c r="C303" t="s">
        <v>422</v>
      </c>
      <c r="D303">
        <v>52</v>
      </c>
      <c r="E303" t="s">
        <v>52</v>
      </c>
      <c r="F303" t="s">
        <v>220</v>
      </c>
      <c r="G303" t="s">
        <v>423</v>
      </c>
      <c r="H303" t="s">
        <v>424</v>
      </c>
      <c r="I303" t="s">
        <v>1421</v>
      </c>
      <c r="J303" s="8">
        <v>45279</v>
      </c>
      <c r="K303" t="s">
        <v>1422</v>
      </c>
      <c r="L303" t="s">
        <v>199</v>
      </c>
      <c r="M303">
        <v>20.7</v>
      </c>
      <c r="N303">
        <v>2</v>
      </c>
      <c r="O303" t="s">
        <v>36</v>
      </c>
      <c r="P303">
        <v>7</v>
      </c>
      <c r="Q303">
        <v>39</v>
      </c>
      <c r="R303" s="8">
        <v>45286</v>
      </c>
      <c r="S303" t="s">
        <v>1423</v>
      </c>
      <c r="T303" s="34">
        <f t="shared" si="32"/>
        <v>7</v>
      </c>
      <c r="U303" s="34">
        <f t="shared" si="33"/>
        <v>41.4</v>
      </c>
      <c r="V303" s="34">
        <f t="shared" si="34"/>
        <v>80.400000000000006</v>
      </c>
      <c r="W303" s="36">
        <f t="shared" si="39"/>
        <v>0.08</v>
      </c>
      <c r="X303" s="34">
        <f t="shared" si="35"/>
        <v>73.968000000000004</v>
      </c>
      <c r="Y303" s="34" t="str">
        <f t="shared" si="36"/>
        <v>Amanda Howard</v>
      </c>
      <c r="Z303" s="34" t="str">
        <f t="shared" si="37"/>
        <v>Intime</v>
      </c>
      <c r="AA303" s="34" t="str">
        <f t="shared" si="38"/>
        <v>outlook.com</v>
      </c>
    </row>
    <row r="304" spans="1:27" ht="14.25" customHeight="1" x14ac:dyDescent="0.3">
      <c r="A304" t="s">
        <v>156</v>
      </c>
      <c r="B304" t="s">
        <v>157</v>
      </c>
      <c r="C304" t="s">
        <v>158</v>
      </c>
      <c r="D304">
        <v>24</v>
      </c>
      <c r="E304" t="s">
        <v>29</v>
      </c>
      <c r="F304" t="s">
        <v>159</v>
      </c>
      <c r="G304" t="s">
        <v>160</v>
      </c>
      <c r="H304" t="s">
        <v>161</v>
      </c>
      <c r="I304" t="s">
        <v>1424</v>
      </c>
      <c r="J304" s="8">
        <v>45206</v>
      </c>
      <c r="K304" t="s">
        <v>1425</v>
      </c>
      <c r="L304" t="s">
        <v>145</v>
      </c>
      <c r="M304">
        <v>190.1</v>
      </c>
      <c r="N304">
        <v>1</v>
      </c>
      <c r="O304" t="s">
        <v>85</v>
      </c>
      <c r="P304">
        <v>3</v>
      </c>
      <c r="Q304">
        <v>63</v>
      </c>
      <c r="R304" s="8">
        <v>45207</v>
      </c>
      <c r="S304" t="s">
        <v>1426</v>
      </c>
      <c r="T304" s="33">
        <f t="shared" si="32"/>
        <v>1</v>
      </c>
      <c r="U304" s="33">
        <f t="shared" si="33"/>
        <v>190.1</v>
      </c>
      <c r="V304" s="33">
        <f t="shared" si="34"/>
        <v>253.1</v>
      </c>
      <c r="W304" s="36">
        <f t="shared" si="39"/>
        <v>0.2</v>
      </c>
      <c r="X304" s="33">
        <f t="shared" si="35"/>
        <v>202.48000000000002</v>
      </c>
      <c r="Y304" s="33" t="str">
        <f t="shared" si="36"/>
        <v>Joshua Campbell</v>
      </c>
      <c r="Z304" s="33" t="str">
        <f t="shared" si="37"/>
        <v>BeforeTime</v>
      </c>
      <c r="AA304" s="33" t="str">
        <f t="shared" si="38"/>
        <v>gmail.com</v>
      </c>
    </row>
    <row r="305" spans="1:27" ht="14.25" customHeight="1" x14ac:dyDescent="0.3">
      <c r="A305" t="s">
        <v>1191</v>
      </c>
      <c r="B305" t="s">
        <v>40</v>
      </c>
      <c r="C305" t="s">
        <v>1192</v>
      </c>
      <c r="D305">
        <v>34</v>
      </c>
      <c r="E305" t="s">
        <v>52</v>
      </c>
      <c r="F305" t="s">
        <v>220</v>
      </c>
      <c r="G305" t="s">
        <v>1193</v>
      </c>
      <c r="H305" t="s">
        <v>1194</v>
      </c>
      <c r="I305" t="s">
        <v>1427</v>
      </c>
      <c r="J305" s="8">
        <v>45324</v>
      </c>
      <c r="K305" t="s">
        <v>1428</v>
      </c>
      <c r="L305" t="s">
        <v>291</v>
      </c>
      <c r="M305">
        <v>158.53</v>
      </c>
      <c r="N305">
        <v>3</v>
      </c>
      <c r="O305" t="s">
        <v>85</v>
      </c>
      <c r="P305">
        <v>6</v>
      </c>
      <c r="Q305">
        <v>38</v>
      </c>
      <c r="R305" s="8">
        <v>45331</v>
      </c>
      <c r="S305" t="s">
        <v>1429</v>
      </c>
      <c r="T305" s="34">
        <f t="shared" si="32"/>
        <v>7</v>
      </c>
      <c r="U305" s="34">
        <f t="shared" si="33"/>
        <v>475.59000000000003</v>
      </c>
      <c r="V305" s="34">
        <f t="shared" si="34"/>
        <v>513.59</v>
      </c>
      <c r="W305" s="36">
        <f t="shared" si="39"/>
        <v>0.2</v>
      </c>
      <c r="X305" s="34">
        <f t="shared" si="35"/>
        <v>410.87200000000007</v>
      </c>
      <c r="Y305" s="34" t="str">
        <f t="shared" si="36"/>
        <v>Thomas Owens</v>
      </c>
      <c r="Z305" s="34" t="str">
        <f t="shared" si="37"/>
        <v>Late</v>
      </c>
      <c r="AA305" s="34" t="str">
        <f t="shared" si="38"/>
        <v>outlook.com</v>
      </c>
    </row>
    <row r="306" spans="1:27" ht="14.25" customHeight="1" x14ac:dyDescent="0.3">
      <c r="A306" t="s">
        <v>1221</v>
      </c>
      <c r="B306" t="s">
        <v>1222</v>
      </c>
      <c r="C306" t="s">
        <v>1223</v>
      </c>
      <c r="D306">
        <v>19</v>
      </c>
      <c r="E306" t="s">
        <v>41</v>
      </c>
      <c r="F306" t="s">
        <v>76</v>
      </c>
      <c r="G306" t="s">
        <v>1224</v>
      </c>
      <c r="H306" t="s">
        <v>1225</v>
      </c>
      <c r="I306" t="s">
        <v>1430</v>
      </c>
      <c r="J306" s="8">
        <v>45272</v>
      </c>
      <c r="K306" t="s">
        <v>1431</v>
      </c>
      <c r="L306" t="s">
        <v>418</v>
      </c>
      <c r="M306">
        <v>44.5</v>
      </c>
      <c r="N306">
        <v>1</v>
      </c>
      <c r="O306" t="s">
        <v>96</v>
      </c>
      <c r="P306">
        <v>4</v>
      </c>
      <c r="Q306">
        <v>49</v>
      </c>
      <c r="R306" s="8">
        <v>45278</v>
      </c>
      <c r="S306" t="s">
        <v>1432</v>
      </c>
      <c r="T306" s="33">
        <f t="shared" si="32"/>
        <v>6</v>
      </c>
      <c r="U306" s="33">
        <f t="shared" si="33"/>
        <v>44.5</v>
      </c>
      <c r="V306" s="33">
        <f t="shared" si="34"/>
        <v>93.5</v>
      </c>
      <c r="W306" s="36">
        <f t="shared" si="39"/>
        <v>0.1</v>
      </c>
      <c r="X306" s="33">
        <f t="shared" si="35"/>
        <v>84.15</v>
      </c>
      <c r="Y306" s="33" t="str">
        <f t="shared" si="36"/>
        <v>Jessica Ruiz</v>
      </c>
      <c r="Z306" s="33" t="str">
        <f t="shared" si="37"/>
        <v>Late</v>
      </c>
      <c r="AA306" s="33" t="str">
        <f t="shared" si="38"/>
        <v>rediffmail.com</v>
      </c>
    </row>
    <row r="307" spans="1:27" ht="14.25" customHeight="1" x14ac:dyDescent="0.3">
      <c r="A307" t="s">
        <v>325</v>
      </c>
      <c r="B307" t="s">
        <v>326</v>
      </c>
      <c r="C307" t="s">
        <v>327</v>
      </c>
      <c r="D307">
        <v>29</v>
      </c>
      <c r="E307" t="s">
        <v>52</v>
      </c>
      <c r="F307" t="s">
        <v>90</v>
      </c>
      <c r="G307" t="s">
        <v>328</v>
      </c>
      <c r="H307" t="s">
        <v>329</v>
      </c>
      <c r="I307" t="s">
        <v>1433</v>
      </c>
      <c r="J307" s="8">
        <v>45616</v>
      </c>
      <c r="K307" t="s">
        <v>1434</v>
      </c>
      <c r="L307" t="s">
        <v>308</v>
      </c>
      <c r="M307">
        <v>129.75</v>
      </c>
      <c r="N307">
        <v>2</v>
      </c>
      <c r="O307" t="s">
        <v>63</v>
      </c>
      <c r="P307">
        <v>4</v>
      </c>
      <c r="Q307">
        <v>53</v>
      </c>
      <c r="R307" s="8">
        <v>45620</v>
      </c>
      <c r="S307" t="s">
        <v>1435</v>
      </c>
      <c r="T307" s="34">
        <f t="shared" si="32"/>
        <v>4</v>
      </c>
      <c r="U307" s="34">
        <f t="shared" si="33"/>
        <v>259.5</v>
      </c>
      <c r="V307" s="34">
        <f t="shared" si="34"/>
        <v>312.5</v>
      </c>
      <c r="W307" s="36">
        <f t="shared" si="39"/>
        <v>0</v>
      </c>
      <c r="X307" s="34">
        <f t="shared" si="35"/>
        <v>312.5</v>
      </c>
      <c r="Y307" s="34" t="str">
        <f t="shared" si="36"/>
        <v>Courtney Parker</v>
      </c>
      <c r="Z307" s="34" t="str">
        <f t="shared" si="37"/>
        <v>Intime</v>
      </c>
      <c r="AA307" s="34" t="str">
        <f t="shared" si="38"/>
        <v>yahoo.com</v>
      </c>
    </row>
    <row r="308" spans="1:27" ht="14.25" customHeight="1" x14ac:dyDescent="0.3">
      <c r="A308" t="s">
        <v>1079</v>
      </c>
      <c r="B308" t="s">
        <v>218</v>
      </c>
      <c r="C308" t="s">
        <v>1080</v>
      </c>
      <c r="D308">
        <v>55</v>
      </c>
      <c r="E308" t="s">
        <v>41</v>
      </c>
      <c r="F308" t="s">
        <v>159</v>
      </c>
      <c r="G308" t="s">
        <v>1081</v>
      </c>
      <c r="H308" t="s">
        <v>1082</v>
      </c>
      <c r="I308" t="s">
        <v>1436</v>
      </c>
      <c r="J308" s="8">
        <v>45324</v>
      </c>
      <c r="K308" t="s">
        <v>1437</v>
      </c>
      <c r="L308" t="s">
        <v>135</v>
      </c>
      <c r="M308">
        <v>175.93</v>
      </c>
      <c r="N308">
        <v>2</v>
      </c>
      <c r="O308" t="s">
        <v>63</v>
      </c>
      <c r="P308">
        <v>6</v>
      </c>
      <c r="Q308">
        <v>50</v>
      </c>
      <c r="R308" s="8">
        <v>45325</v>
      </c>
      <c r="S308" t="s">
        <v>1438</v>
      </c>
      <c r="T308" s="33">
        <f t="shared" si="32"/>
        <v>1</v>
      </c>
      <c r="U308" s="33">
        <f t="shared" si="33"/>
        <v>351.86</v>
      </c>
      <c r="V308" s="33">
        <f t="shared" si="34"/>
        <v>401.86</v>
      </c>
      <c r="W308" s="36">
        <f t="shared" si="39"/>
        <v>0</v>
      </c>
      <c r="X308" s="33">
        <f t="shared" si="35"/>
        <v>401.86</v>
      </c>
      <c r="Y308" s="33" t="str">
        <f t="shared" si="36"/>
        <v>Mark Summers</v>
      </c>
      <c r="Z308" s="33" t="str">
        <f t="shared" si="37"/>
        <v>BeforeTime</v>
      </c>
      <c r="AA308" s="33" t="str">
        <f t="shared" si="38"/>
        <v>outlook.com</v>
      </c>
    </row>
    <row r="309" spans="1:27" ht="14.25" customHeight="1" x14ac:dyDescent="0.3">
      <c r="A309" t="s">
        <v>847</v>
      </c>
      <c r="B309" t="s">
        <v>848</v>
      </c>
      <c r="C309" t="s">
        <v>387</v>
      </c>
      <c r="D309">
        <v>37</v>
      </c>
      <c r="E309" t="s">
        <v>52</v>
      </c>
      <c r="F309" t="s">
        <v>220</v>
      </c>
      <c r="G309" t="s">
        <v>849</v>
      </c>
      <c r="H309" t="s">
        <v>850</v>
      </c>
      <c r="I309" t="s">
        <v>1439</v>
      </c>
      <c r="J309" s="8">
        <v>45671</v>
      </c>
      <c r="K309" t="s">
        <v>1440</v>
      </c>
      <c r="L309" t="s">
        <v>495</v>
      </c>
      <c r="M309">
        <v>421.7</v>
      </c>
      <c r="N309">
        <v>5</v>
      </c>
      <c r="O309" t="s">
        <v>58</v>
      </c>
      <c r="P309">
        <v>2</v>
      </c>
      <c r="Q309">
        <v>56</v>
      </c>
      <c r="R309" s="8">
        <v>45674</v>
      </c>
      <c r="S309" t="s">
        <v>1441</v>
      </c>
      <c r="T309" s="34">
        <f t="shared" si="32"/>
        <v>3</v>
      </c>
      <c r="U309" s="34">
        <f t="shared" si="33"/>
        <v>2108.5</v>
      </c>
      <c r="V309" s="34">
        <f t="shared" si="34"/>
        <v>2164.5</v>
      </c>
      <c r="W309" s="36">
        <f t="shared" si="39"/>
        <v>0.15</v>
      </c>
      <c r="X309" s="34">
        <f t="shared" si="35"/>
        <v>1839.825</v>
      </c>
      <c r="Y309" s="34" t="str">
        <f t="shared" si="36"/>
        <v>Susan Thompson</v>
      </c>
      <c r="Z309" s="34" t="str">
        <f t="shared" si="37"/>
        <v>Late</v>
      </c>
      <c r="AA309" s="34" t="str">
        <f t="shared" si="38"/>
        <v>outlook.com</v>
      </c>
    </row>
    <row r="310" spans="1:27" ht="14.25" customHeight="1" x14ac:dyDescent="0.3">
      <c r="A310" t="s">
        <v>592</v>
      </c>
      <c r="B310" t="s">
        <v>593</v>
      </c>
      <c r="C310" t="s">
        <v>594</v>
      </c>
      <c r="D310">
        <v>21</v>
      </c>
      <c r="E310" t="s">
        <v>29</v>
      </c>
      <c r="F310" t="s">
        <v>42</v>
      </c>
      <c r="G310" t="s">
        <v>595</v>
      </c>
      <c r="H310" t="s">
        <v>596</v>
      </c>
      <c r="I310" t="s">
        <v>1442</v>
      </c>
      <c r="J310" s="8">
        <v>45064</v>
      </c>
      <c r="K310" t="s">
        <v>1443</v>
      </c>
      <c r="L310" t="s">
        <v>637</v>
      </c>
      <c r="M310">
        <v>445.81</v>
      </c>
      <c r="N310">
        <v>1</v>
      </c>
      <c r="O310" t="s">
        <v>85</v>
      </c>
      <c r="P310">
        <v>7</v>
      </c>
      <c r="Q310">
        <v>41</v>
      </c>
      <c r="R310" s="8">
        <v>45071</v>
      </c>
      <c r="S310" t="s">
        <v>1444</v>
      </c>
      <c r="T310" s="33">
        <f t="shared" si="32"/>
        <v>7</v>
      </c>
      <c r="U310" s="33">
        <f t="shared" si="33"/>
        <v>445.81</v>
      </c>
      <c r="V310" s="33">
        <f t="shared" si="34"/>
        <v>486.81</v>
      </c>
      <c r="W310" s="36">
        <f t="shared" si="39"/>
        <v>0.2</v>
      </c>
      <c r="X310" s="33">
        <f t="shared" si="35"/>
        <v>389.44800000000004</v>
      </c>
      <c r="Y310" s="33" t="str">
        <f t="shared" si="36"/>
        <v>William Mann</v>
      </c>
      <c r="Z310" s="33" t="str">
        <f t="shared" si="37"/>
        <v>Intime</v>
      </c>
      <c r="AA310" s="33" t="str">
        <f t="shared" si="38"/>
        <v>yahoo.com</v>
      </c>
    </row>
    <row r="311" spans="1:27" ht="14.25" customHeight="1" x14ac:dyDescent="0.3">
      <c r="A311" t="s">
        <v>679</v>
      </c>
      <c r="B311" t="s">
        <v>680</v>
      </c>
      <c r="C311" t="s">
        <v>681</v>
      </c>
      <c r="D311">
        <v>68</v>
      </c>
      <c r="E311" t="s">
        <v>29</v>
      </c>
      <c r="F311" t="s">
        <v>220</v>
      </c>
      <c r="G311" t="s">
        <v>682</v>
      </c>
      <c r="H311" t="s">
        <v>683</v>
      </c>
      <c r="I311" t="s">
        <v>1445</v>
      </c>
      <c r="J311" s="8">
        <v>44973</v>
      </c>
      <c r="K311" t="s">
        <v>1446</v>
      </c>
      <c r="L311" t="s">
        <v>553</v>
      </c>
      <c r="M311">
        <v>425.59</v>
      </c>
      <c r="N311">
        <v>2</v>
      </c>
      <c r="O311" t="s">
        <v>63</v>
      </c>
      <c r="P311">
        <v>2</v>
      </c>
      <c r="Q311">
        <v>67</v>
      </c>
      <c r="R311" s="8">
        <v>44977</v>
      </c>
      <c r="S311" t="s">
        <v>1447</v>
      </c>
      <c r="T311" s="34">
        <f t="shared" si="32"/>
        <v>4</v>
      </c>
      <c r="U311" s="34">
        <f t="shared" si="33"/>
        <v>851.18</v>
      </c>
      <c r="V311" s="34">
        <f t="shared" si="34"/>
        <v>918.18</v>
      </c>
      <c r="W311" s="36">
        <f t="shared" si="39"/>
        <v>0</v>
      </c>
      <c r="X311" s="34">
        <f t="shared" si="35"/>
        <v>918.18</v>
      </c>
      <c r="Y311" s="34" t="str">
        <f t="shared" si="36"/>
        <v>Troy Gomez</v>
      </c>
      <c r="Z311" s="34" t="str">
        <f t="shared" si="37"/>
        <v>Late</v>
      </c>
      <c r="AA311" s="34" t="str">
        <f t="shared" si="38"/>
        <v>outlook.com</v>
      </c>
    </row>
    <row r="312" spans="1:27" ht="14.25" customHeight="1" x14ac:dyDescent="0.3">
      <c r="A312" t="s">
        <v>358</v>
      </c>
      <c r="B312" t="s">
        <v>359</v>
      </c>
      <c r="C312" t="s">
        <v>360</v>
      </c>
      <c r="D312">
        <v>32</v>
      </c>
      <c r="E312" t="s">
        <v>41</v>
      </c>
      <c r="F312" t="s">
        <v>168</v>
      </c>
      <c r="G312" t="s">
        <v>361</v>
      </c>
      <c r="H312" t="s">
        <v>362</v>
      </c>
      <c r="I312" t="s">
        <v>1448</v>
      </c>
      <c r="J312" s="8">
        <v>45515</v>
      </c>
      <c r="K312" t="s">
        <v>1449</v>
      </c>
      <c r="L312" t="s">
        <v>553</v>
      </c>
      <c r="M312">
        <v>425.59</v>
      </c>
      <c r="N312">
        <v>1</v>
      </c>
      <c r="O312" t="s">
        <v>36</v>
      </c>
      <c r="P312">
        <v>1</v>
      </c>
      <c r="Q312">
        <v>62</v>
      </c>
      <c r="R312" s="8">
        <v>45518</v>
      </c>
      <c r="S312" t="s">
        <v>1450</v>
      </c>
      <c r="T312" s="33">
        <f t="shared" si="32"/>
        <v>3</v>
      </c>
      <c r="U312" s="33">
        <f t="shared" si="33"/>
        <v>425.59</v>
      </c>
      <c r="V312" s="33">
        <f t="shared" si="34"/>
        <v>487.59</v>
      </c>
      <c r="W312" s="36">
        <f t="shared" si="39"/>
        <v>0.08</v>
      </c>
      <c r="X312" s="33">
        <f t="shared" si="35"/>
        <v>448.58280000000002</v>
      </c>
      <c r="Y312" s="33" t="str">
        <f t="shared" si="36"/>
        <v>Robert Castillo</v>
      </c>
      <c r="Z312" s="33" t="str">
        <f t="shared" si="37"/>
        <v>Late</v>
      </c>
      <c r="AA312" s="33" t="str">
        <f t="shared" si="38"/>
        <v>gmail.com</v>
      </c>
    </row>
    <row r="313" spans="1:27" ht="14.25" customHeight="1" x14ac:dyDescent="0.3">
      <c r="A313" t="s">
        <v>1079</v>
      </c>
      <c r="B313" t="s">
        <v>218</v>
      </c>
      <c r="C313" t="s">
        <v>1080</v>
      </c>
      <c r="D313">
        <v>55</v>
      </c>
      <c r="E313" t="s">
        <v>41</v>
      </c>
      <c r="F313" t="s">
        <v>159</v>
      </c>
      <c r="G313" t="s">
        <v>1081</v>
      </c>
      <c r="H313" t="s">
        <v>1082</v>
      </c>
      <c r="I313" t="s">
        <v>1451</v>
      </c>
      <c r="J313" s="8">
        <v>44976</v>
      </c>
      <c r="K313" t="s">
        <v>1452</v>
      </c>
      <c r="L313" t="s">
        <v>250</v>
      </c>
      <c r="M313">
        <v>128.13999999999999</v>
      </c>
      <c r="N313">
        <v>1</v>
      </c>
      <c r="O313" t="s">
        <v>96</v>
      </c>
      <c r="P313">
        <v>1</v>
      </c>
      <c r="Q313">
        <v>39</v>
      </c>
      <c r="R313" s="8">
        <v>44982</v>
      </c>
      <c r="S313" t="s">
        <v>1453</v>
      </c>
      <c r="T313" s="34">
        <f t="shared" si="32"/>
        <v>6</v>
      </c>
      <c r="U313" s="34">
        <f t="shared" si="33"/>
        <v>128.13999999999999</v>
      </c>
      <c r="V313" s="34">
        <f t="shared" si="34"/>
        <v>167.14</v>
      </c>
      <c r="W313" s="36">
        <f t="shared" si="39"/>
        <v>0.1</v>
      </c>
      <c r="X313" s="34">
        <f t="shared" si="35"/>
        <v>150.42599999999999</v>
      </c>
      <c r="Y313" s="34" t="str">
        <f t="shared" si="36"/>
        <v>Mark Summers</v>
      </c>
      <c r="Z313" s="34" t="str">
        <f t="shared" si="37"/>
        <v>Late</v>
      </c>
      <c r="AA313" s="34" t="str">
        <f t="shared" si="38"/>
        <v>outlook.com</v>
      </c>
    </row>
    <row r="314" spans="1:27" ht="14.25" customHeight="1" x14ac:dyDescent="0.3">
      <c r="A314" t="s">
        <v>1210</v>
      </c>
      <c r="B314" t="s">
        <v>1211</v>
      </c>
      <c r="C314" t="s">
        <v>1212</v>
      </c>
      <c r="D314">
        <v>50</v>
      </c>
      <c r="E314" t="s">
        <v>52</v>
      </c>
      <c r="F314" t="s">
        <v>168</v>
      </c>
      <c r="G314" t="s">
        <v>1213</v>
      </c>
      <c r="H314" t="s">
        <v>1214</v>
      </c>
      <c r="I314" t="s">
        <v>1454</v>
      </c>
      <c r="J314" s="8">
        <v>45684</v>
      </c>
      <c r="K314" t="s">
        <v>1455</v>
      </c>
      <c r="L314" t="s">
        <v>657</v>
      </c>
      <c r="M314">
        <v>235.63</v>
      </c>
      <c r="N314">
        <v>1</v>
      </c>
      <c r="O314" t="s">
        <v>85</v>
      </c>
      <c r="P314">
        <v>7</v>
      </c>
      <c r="Q314">
        <v>46</v>
      </c>
      <c r="R314" s="8">
        <v>45689</v>
      </c>
      <c r="S314" t="s">
        <v>1456</v>
      </c>
      <c r="T314" s="33">
        <f t="shared" si="32"/>
        <v>5</v>
      </c>
      <c r="U314" s="33">
        <f t="shared" si="33"/>
        <v>235.63</v>
      </c>
      <c r="V314" s="33">
        <f t="shared" si="34"/>
        <v>281.63</v>
      </c>
      <c r="W314" s="36">
        <f t="shared" si="39"/>
        <v>0.2</v>
      </c>
      <c r="X314" s="33">
        <f t="shared" si="35"/>
        <v>225.304</v>
      </c>
      <c r="Y314" s="33" t="str">
        <f t="shared" si="36"/>
        <v>Brendan Kelly</v>
      </c>
      <c r="Z314" s="33" t="str">
        <f t="shared" si="37"/>
        <v>BeforeTime</v>
      </c>
      <c r="AA314" s="33" t="str">
        <f t="shared" si="38"/>
        <v>rediffmail.com</v>
      </c>
    </row>
    <row r="315" spans="1:27" ht="14.25" customHeight="1" x14ac:dyDescent="0.3">
      <c r="A315" t="s">
        <v>1457</v>
      </c>
      <c r="B315" t="s">
        <v>273</v>
      </c>
      <c r="C315" t="s">
        <v>1458</v>
      </c>
      <c r="D315">
        <v>30</v>
      </c>
      <c r="E315" t="s">
        <v>29</v>
      </c>
      <c r="F315" t="s">
        <v>220</v>
      </c>
      <c r="G315" t="s">
        <v>1459</v>
      </c>
      <c r="H315" t="s">
        <v>1460</v>
      </c>
      <c r="I315" t="s">
        <v>1461</v>
      </c>
      <c r="J315" s="8">
        <v>45400</v>
      </c>
      <c r="K315" t="s">
        <v>1462</v>
      </c>
      <c r="L315" t="s">
        <v>287</v>
      </c>
      <c r="M315">
        <v>157.63999999999999</v>
      </c>
      <c r="N315">
        <v>2</v>
      </c>
      <c r="O315" t="s">
        <v>85</v>
      </c>
      <c r="P315">
        <v>1</v>
      </c>
      <c r="Q315">
        <v>57</v>
      </c>
      <c r="R315" s="8">
        <v>45401</v>
      </c>
      <c r="S315" t="s">
        <v>1463</v>
      </c>
      <c r="T315" s="34">
        <f t="shared" si="32"/>
        <v>1</v>
      </c>
      <c r="U315" s="34">
        <f t="shared" si="33"/>
        <v>315.27999999999997</v>
      </c>
      <c r="V315" s="34">
        <f t="shared" si="34"/>
        <v>372.28</v>
      </c>
      <c r="W315" s="36">
        <f t="shared" si="39"/>
        <v>0.2</v>
      </c>
      <c r="X315" s="34">
        <f t="shared" si="35"/>
        <v>297.82400000000001</v>
      </c>
      <c r="Y315" s="34" t="str">
        <f t="shared" si="36"/>
        <v>Lauren Lane</v>
      </c>
      <c r="Z315" s="34" t="str">
        <f t="shared" si="37"/>
        <v>Intime</v>
      </c>
      <c r="AA315" s="34" t="str">
        <f t="shared" si="38"/>
        <v>gmail.com</v>
      </c>
    </row>
    <row r="316" spans="1:27" ht="14.25" customHeight="1" x14ac:dyDescent="0.3">
      <c r="A316" t="s">
        <v>894</v>
      </c>
      <c r="B316" t="s">
        <v>148</v>
      </c>
      <c r="C316" t="s">
        <v>895</v>
      </c>
      <c r="D316">
        <v>29</v>
      </c>
      <c r="E316" t="s">
        <v>29</v>
      </c>
      <c r="F316" t="s">
        <v>42</v>
      </c>
      <c r="G316" t="s">
        <v>896</v>
      </c>
      <c r="H316" t="s">
        <v>897</v>
      </c>
      <c r="I316" t="s">
        <v>1464</v>
      </c>
      <c r="J316" s="8">
        <v>45108</v>
      </c>
      <c r="K316" t="s">
        <v>1465</v>
      </c>
      <c r="L316" t="s">
        <v>234</v>
      </c>
      <c r="M316">
        <v>132.97</v>
      </c>
      <c r="N316">
        <v>3</v>
      </c>
      <c r="O316" t="s">
        <v>58</v>
      </c>
      <c r="P316">
        <v>3</v>
      </c>
      <c r="Q316">
        <v>36</v>
      </c>
      <c r="R316" s="8">
        <v>45110</v>
      </c>
      <c r="S316" t="s">
        <v>1466</v>
      </c>
      <c r="T316" s="33">
        <f t="shared" si="32"/>
        <v>2</v>
      </c>
      <c r="U316" s="33">
        <f t="shared" si="33"/>
        <v>398.90999999999997</v>
      </c>
      <c r="V316" s="33">
        <f t="shared" si="34"/>
        <v>434.90999999999997</v>
      </c>
      <c r="W316" s="36">
        <f t="shared" si="39"/>
        <v>0.15</v>
      </c>
      <c r="X316" s="33">
        <f t="shared" si="35"/>
        <v>369.67349999999999</v>
      </c>
      <c r="Y316" s="33" t="str">
        <f t="shared" si="36"/>
        <v>Amy Griffin</v>
      </c>
      <c r="Z316" s="33" t="str">
        <f t="shared" si="37"/>
        <v>BeforeTime</v>
      </c>
      <c r="AA316" s="33" t="str">
        <f t="shared" si="38"/>
        <v>rediffmail.com</v>
      </c>
    </row>
    <row r="317" spans="1:27" ht="14.25" customHeight="1" x14ac:dyDescent="0.3">
      <c r="A317" t="s">
        <v>358</v>
      </c>
      <c r="B317" t="s">
        <v>359</v>
      </c>
      <c r="C317" t="s">
        <v>360</v>
      </c>
      <c r="D317">
        <v>32</v>
      </c>
      <c r="E317" t="s">
        <v>41</v>
      </c>
      <c r="F317" t="s">
        <v>168</v>
      </c>
      <c r="G317" t="s">
        <v>361</v>
      </c>
      <c r="H317" t="s">
        <v>362</v>
      </c>
      <c r="I317" t="s">
        <v>1467</v>
      </c>
      <c r="J317" s="8">
        <v>45143</v>
      </c>
      <c r="K317" t="s">
        <v>1468</v>
      </c>
      <c r="L317" t="s">
        <v>323</v>
      </c>
      <c r="M317">
        <v>481.48</v>
      </c>
      <c r="N317">
        <v>1</v>
      </c>
      <c r="O317" t="s">
        <v>58</v>
      </c>
      <c r="P317">
        <v>4</v>
      </c>
      <c r="Q317">
        <v>67</v>
      </c>
      <c r="R317" s="8">
        <v>45150</v>
      </c>
      <c r="S317" t="s">
        <v>1469</v>
      </c>
      <c r="T317" s="34">
        <f t="shared" si="32"/>
        <v>7</v>
      </c>
      <c r="U317" s="34">
        <f t="shared" si="33"/>
        <v>481.48</v>
      </c>
      <c r="V317" s="34">
        <f t="shared" si="34"/>
        <v>548.48</v>
      </c>
      <c r="W317" s="36">
        <f t="shared" si="39"/>
        <v>0.15</v>
      </c>
      <c r="X317" s="34">
        <f t="shared" si="35"/>
        <v>466.20800000000003</v>
      </c>
      <c r="Y317" s="34" t="str">
        <f t="shared" si="36"/>
        <v>Robert Castillo</v>
      </c>
      <c r="Z317" s="34" t="str">
        <f t="shared" si="37"/>
        <v>Late</v>
      </c>
      <c r="AA317" s="34" t="str">
        <f t="shared" si="38"/>
        <v>gmail.com</v>
      </c>
    </row>
    <row r="318" spans="1:27" ht="14.25" customHeight="1" x14ac:dyDescent="0.3">
      <c r="A318" t="s">
        <v>137</v>
      </c>
      <c r="B318" t="s">
        <v>138</v>
      </c>
      <c r="C318" t="s">
        <v>139</v>
      </c>
      <c r="D318">
        <v>25</v>
      </c>
      <c r="E318" t="s">
        <v>52</v>
      </c>
      <c r="F318" t="s">
        <v>140</v>
      </c>
      <c r="G318" t="s">
        <v>141</v>
      </c>
      <c r="H318" t="s">
        <v>142</v>
      </c>
      <c r="I318" t="s">
        <v>1470</v>
      </c>
      <c r="J318" s="8">
        <v>45211</v>
      </c>
      <c r="K318" t="s">
        <v>1471</v>
      </c>
      <c r="L318" t="s">
        <v>323</v>
      </c>
      <c r="M318">
        <v>481.48</v>
      </c>
      <c r="N318">
        <v>2</v>
      </c>
      <c r="O318" t="s">
        <v>96</v>
      </c>
      <c r="P318">
        <v>7</v>
      </c>
      <c r="Q318">
        <v>66</v>
      </c>
      <c r="R318" s="8">
        <v>45218</v>
      </c>
      <c r="S318" t="s">
        <v>1472</v>
      </c>
      <c r="T318" s="33">
        <f t="shared" si="32"/>
        <v>7</v>
      </c>
      <c r="U318" s="33">
        <f t="shared" si="33"/>
        <v>962.96</v>
      </c>
      <c r="V318" s="33">
        <f t="shared" si="34"/>
        <v>1028.96</v>
      </c>
      <c r="W318" s="36">
        <f t="shared" si="39"/>
        <v>0.1</v>
      </c>
      <c r="X318" s="33">
        <f t="shared" si="35"/>
        <v>926.06400000000008</v>
      </c>
      <c r="Y318" s="33" t="str">
        <f t="shared" si="36"/>
        <v>Kara Brennan</v>
      </c>
      <c r="Z318" s="33" t="str">
        <f t="shared" si="37"/>
        <v>Intime</v>
      </c>
      <c r="AA318" s="33" t="str">
        <f t="shared" si="38"/>
        <v>outlook.com</v>
      </c>
    </row>
    <row r="319" spans="1:27" ht="14.25" customHeight="1" x14ac:dyDescent="0.3">
      <c r="A319" t="s">
        <v>1473</v>
      </c>
      <c r="B319" t="s">
        <v>593</v>
      </c>
      <c r="C319" t="s">
        <v>1474</v>
      </c>
      <c r="D319">
        <v>57</v>
      </c>
      <c r="E319" t="s">
        <v>52</v>
      </c>
      <c r="F319" t="s">
        <v>140</v>
      </c>
      <c r="G319" t="s">
        <v>1475</v>
      </c>
      <c r="H319" t="s">
        <v>1476</v>
      </c>
      <c r="I319" t="s">
        <v>1477</v>
      </c>
      <c r="J319" s="8">
        <v>45147</v>
      </c>
      <c r="K319" t="s">
        <v>1478</v>
      </c>
      <c r="L319" t="s">
        <v>291</v>
      </c>
      <c r="M319">
        <v>158.53</v>
      </c>
      <c r="N319">
        <v>5</v>
      </c>
      <c r="O319" t="s">
        <v>85</v>
      </c>
      <c r="P319">
        <v>1</v>
      </c>
      <c r="Q319">
        <v>46</v>
      </c>
      <c r="R319" s="8">
        <v>45151</v>
      </c>
      <c r="S319" t="s">
        <v>1479</v>
      </c>
      <c r="T319" s="34">
        <f t="shared" si="32"/>
        <v>4</v>
      </c>
      <c r="U319" s="34">
        <f t="shared" si="33"/>
        <v>792.65</v>
      </c>
      <c r="V319" s="34">
        <f t="shared" si="34"/>
        <v>838.65</v>
      </c>
      <c r="W319" s="36">
        <f t="shared" si="39"/>
        <v>0.2</v>
      </c>
      <c r="X319" s="34">
        <f t="shared" si="35"/>
        <v>670.92000000000007</v>
      </c>
      <c r="Y319" s="34" t="str">
        <f t="shared" si="36"/>
        <v>William Richmond</v>
      </c>
      <c r="Z319" s="34" t="str">
        <f t="shared" si="37"/>
        <v>Late</v>
      </c>
      <c r="AA319" s="34" t="str">
        <f t="shared" si="38"/>
        <v>outlook.com</v>
      </c>
    </row>
    <row r="320" spans="1:27" ht="14.25" customHeight="1" x14ac:dyDescent="0.3">
      <c r="A320" t="s">
        <v>1318</v>
      </c>
      <c r="B320" t="s">
        <v>1319</v>
      </c>
      <c r="C320" t="s">
        <v>1320</v>
      </c>
      <c r="D320">
        <v>43</v>
      </c>
      <c r="E320" t="s">
        <v>29</v>
      </c>
      <c r="F320" t="s">
        <v>140</v>
      </c>
      <c r="G320" t="s">
        <v>1321</v>
      </c>
      <c r="H320" t="s">
        <v>1322</v>
      </c>
      <c r="I320" t="s">
        <v>1480</v>
      </c>
      <c r="J320" s="8">
        <v>45637</v>
      </c>
      <c r="K320" t="s">
        <v>1481</v>
      </c>
      <c r="L320" t="s">
        <v>173</v>
      </c>
      <c r="M320">
        <v>272.51</v>
      </c>
      <c r="N320">
        <v>2</v>
      </c>
      <c r="O320" t="s">
        <v>85</v>
      </c>
      <c r="P320">
        <v>5</v>
      </c>
      <c r="Q320">
        <v>37</v>
      </c>
      <c r="R320" s="8">
        <v>45640</v>
      </c>
      <c r="S320" t="s">
        <v>1482</v>
      </c>
      <c r="T320" s="33">
        <f t="shared" si="32"/>
        <v>3</v>
      </c>
      <c r="U320" s="33">
        <f t="shared" si="33"/>
        <v>545.02</v>
      </c>
      <c r="V320" s="33">
        <f t="shared" si="34"/>
        <v>582.02</v>
      </c>
      <c r="W320" s="36">
        <f t="shared" si="39"/>
        <v>0.2</v>
      </c>
      <c r="X320" s="33">
        <f t="shared" si="35"/>
        <v>465.61599999999999</v>
      </c>
      <c r="Y320" s="33" t="str">
        <f t="shared" si="36"/>
        <v>Jared Horn</v>
      </c>
      <c r="Z320" s="33" t="str">
        <f t="shared" si="37"/>
        <v>BeforeTime</v>
      </c>
      <c r="AA320" s="33" t="str">
        <f t="shared" si="38"/>
        <v>outlook.com</v>
      </c>
    </row>
    <row r="321" spans="1:27" ht="14.25" customHeight="1" x14ac:dyDescent="0.3">
      <c r="A321" t="s">
        <v>1210</v>
      </c>
      <c r="B321" t="s">
        <v>1211</v>
      </c>
      <c r="C321" t="s">
        <v>1212</v>
      </c>
      <c r="D321">
        <v>50</v>
      </c>
      <c r="E321" t="s">
        <v>52</v>
      </c>
      <c r="F321" t="s">
        <v>168</v>
      </c>
      <c r="G321" t="s">
        <v>1213</v>
      </c>
      <c r="H321" t="s">
        <v>1214</v>
      </c>
      <c r="I321" t="s">
        <v>1483</v>
      </c>
      <c r="J321" s="8">
        <v>45656</v>
      </c>
      <c r="K321" t="s">
        <v>1484</v>
      </c>
      <c r="L321" t="s">
        <v>182</v>
      </c>
      <c r="M321">
        <v>104.18</v>
      </c>
      <c r="N321">
        <v>2</v>
      </c>
      <c r="O321" t="s">
        <v>58</v>
      </c>
      <c r="P321">
        <v>5</v>
      </c>
      <c r="Q321">
        <v>65</v>
      </c>
      <c r="R321" s="8">
        <v>45657</v>
      </c>
      <c r="S321" t="s">
        <v>1485</v>
      </c>
      <c r="T321" s="34">
        <f t="shared" si="32"/>
        <v>1</v>
      </c>
      <c r="U321" s="34">
        <f t="shared" si="33"/>
        <v>208.36</v>
      </c>
      <c r="V321" s="34">
        <f t="shared" si="34"/>
        <v>273.36</v>
      </c>
      <c r="W321" s="36">
        <f t="shared" si="39"/>
        <v>0.15</v>
      </c>
      <c r="X321" s="34">
        <f t="shared" si="35"/>
        <v>232.35599999999999</v>
      </c>
      <c r="Y321" s="34" t="str">
        <f t="shared" si="36"/>
        <v>Brendan Kelly</v>
      </c>
      <c r="Z321" s="34" t="str">
        <f t="shared" si="37"/>
        <v>BeforeTime</v>
      </c>
      <c r="AA321" s="34" t="str">
        <f t="shared" si="38"/>
        <v>rediffmail.com</v>
      </c>
    </row>
    <row r="322" spans="1:27" ht="14.25" customHeight="1" x14ac:dyDescent="0.3">
      <c r="A322" t="s">
        <v>165</v>
      </c>
      <c r="B322" t="s">
        <v>166</v>
      </c>
      <c r="C322" t="s">
        <v>167</v>
      </c>
      <c r="D322">
        <v>46</v>
      </c>
      <c r="E322" t="s">
        <v>29</v>
      </c>
      <c r="F322" t="s">
        <v>168</v>
      </c>
      <c r="G322" t="s">
        <v>169</v>
      </c>
      <c r="H322" t="s">
        <v>170</v>
      </c>
      <c r="I322" t="s">
        <v>1486</v>
      </c>
      <c r="J322" s="8">
        <v>45479</v>
      </c>
      <c r="K322" t="s">
        <v>1487</v>
      </c>
      <c r="L322" t="s">
        <v>774</v>
      </c>
      <c r="M322">
        <v>20</v>
      </c>
      <c r="N322">
        <v>2</v>
      </c>
      <c r="O322" t="s">
        <v>96</v>
      </c>
      <c r="P322">
        <v>3</v>
      </c>
      <c r="Q322">
        <v>38</v>
      </c>
      <c r="R322" s="8">
        <v>45485</v>
      </c>
      <c r="S322" t="s">
        <v>1488</v>
      </c>
      <c r="T322" s="33">
        <f t="shared" ref="T322:T385" si="40">R322-J322</f>
        <v>6</v>
      </c>
      <c r="U322" s="33">
        <f t="shared" ref="U322:U385" si="41">M322*N322</f>
        <v>40</v>
      </c>
      <c r="V322" s="33">
        <f t="shared" ref="V322:V385" si="42">U322+Q322</f>
        <v>78</v>
      </c>
      <c r="W322" s="36">
        <f t="shared" si="39"/>
        <v>0.1</v>
      </c>
      <c r="X322" s="33">
        <f t="shared" ref="X322:X385" si="43">V322*(1-W322)</f>
        <v>70.2</v>
      </c>
      <c r="Y322" s="33" t="str">
        <f t="shared" ref="Y322:Y385" si="44">B322&amp;" "&amp;C322</f>
        <v>Erin Miller</v>
      </c>
      <c r="Z322" s="33" t="str">
        <f t="shared" ref="Z322:Z385" si="45">IF(T322&gt;P322,"Late",IF(T322&lt;P322,"BeforeTime","Intime"))</f>
        <v>Late</v>
      </c>
      <c r="AA322" s="33" t="str">
        <f t="shared" ref="AA322:AA385" si="46">MID(G322,FIND("@",G322)+1,LEN(G322)-FIND("@",G322))</f>
        <v>gmail.com</v>
      </c>
    </row>
    <row r="323" spans="1:27" ht="14.25" customHeight="1" x14ac:dyDescent="0.3">
      <c r="A323" t="s">
        <v>435</v>
      </c>
      <c r="B323" t="s">
        <v>436</v>
      </c>
      <c r="C323" t="s">
        <v>437</v>
      </c>
      <c r="D323">
        <v>28</v>
      </c>
      <c r="E323" t="s">
        <v>52</v>
      </c>
      <c r="F323" t="s">
        <v>76</v>
      </c>
      <c r="G323" t="s">
        <v>438</v>
      </c>
      <c r="H323" t="s">
        <v>439</v>
      </c>
      <c r="I323" t="s">
        <v>1489</v>
      </c>
      <c r="J323" s="8">
        <v>45501</v>
      </c>
      <c r="K323" t="s">
        <v>1490</v>
      </c>
      <c r="L323" t="s">
        <v>686</v>
      </c>
      <c r="M323">
        <v>424.82</v>
      </c>
      <c r="N323">
        <v>1</v>
      </c>
      <c r="O323" t="s">
        <v>36</v>
      </c>
      <c r="P323">
        <v>5</v>
      </c>
      <c r="Q323">
        <v>49</v>
      </c>
      <c r="R323" s="8">
        <v>45508</v>
      </c>
      <c r="S323" t="s">
        <v>1491</v>
      </c>
      <c r="T323" s="34">
        <f t="shared" si="40"/>
        <v>7</v>
      </c>
      <c r="U323" s="34">
        <f t="shared" si="41"/>
        <v>424.82</v>
      </c>
      <c r="V323" s="34">
        <f t="shared" si="42"/>
        <v>473.82</v>
      </c>
      <c r="W323" s="36">
        <f t="shared" ref="W323:W386" si="47">IF(O323="FLAT8",0.08,IF(O323="FLAT10",0.1,IF(O323="FLAT15",0.15,IF(O323="FLAT20",0.2,0))))</f>
        <v>0.08</v>
      </c>
      <c r="X323" s="34">
        <f t="shared" si="43"/>
        <v>435.9144</v>
      </c>
      <c r="Y323" s="34" t="str">
        <f t="shared" si="44"/>
        <v>Mary Knight</v>
      </c>
      <c r="Z323" s="34" t="str">
        <f t="shared" si="45"/>
        <v>Late</v>
      </c>
      <c r="AA323" s="34" t="str">
        <f t="shared" si="46"/>
        <v>yahoo.com</v>
      </c>
    </row>
    <row r="324" spans="1:27" ht="14.25" customHeight="1" x14ac:dyDescent="0.3">
      <c r="A324" t="s">
        <v>1307</v>
      </c>
      <c r="B324" t="s">
        <v>1308</v>
      </c>
      <c r="C324" t="s">
        <v>1309</v>
      </c>
      <c r="D324">
        <v>63</v>
      </c>
      <c r="E324" t="s">
        <v>29</v>
      </c>
      <c r="F324" t="s">
        <v>168</v>
      </c>
      <c r="G324" t="s">
        <v>1310</v>
      </c>
      <c r="H324" t="s">
        <v>1311</v>
      </c>
      <c r="I324" t="s">
        <v>1492</v>
      </c>
      <c r="J324" s="8">
        <v>45107</v>
      </c>
      <c r="K324" t="s">
        <v>1493</v>
      </c>
      <c r="L324" t="s">
        <v>154</v>
      </c>
      <c r="M324">
        <v>220.27</v>
      </c>
      <c r="N324">
        <v>5</v>
      </c>
      <c r="O324" t="s">
        <v>85</v>
      </c>
      <c r="P324">
        <v>6</v>
      </c>
      <c r="Q324">
        <v>57</v>
      </c>
      <c r="R324" s="8">
        <v>45109</v>
      </c>
      <c r="S324" t="s">
        <v>1494</v>
      </c>
      <c r="T324" s="33">
        <f t="shared" si="40"/>
        <v>2</v>
      </c>
      <c r="U324" s="33">
        <f t="shared" si="41"/>
        <v>1101.3500000000001</v>
      </c>
      <c r="V324" s="33">
        <f t="shared" si="42"/>
        <v>1158.3500000000001</v>
      </c>
      <c r="W324" s="36">
        <f t="shared" si="47"/>
        <v>0.2</v>
      </c>
      <c r="X324" s="33">
        <f t="shared" si="43"/>
        <v>926.68000000000018</v>
      </c>
      <c r="Y324" s="33" t="str">
        <f t="shared" si="44"/>
        <v>Megan Hunt</v>
      </c>
      <c r="Z324" s="33" t="str">
        <f t="shared" si="45"/>
        <v>BeforeTime</v>
      </c>
      <c r="AA324" s="33" t="str">
        <f t="shared" si="46"/>
        <v>rediffmail.com</v>
      </c>
    </row>
    <row r="325" spans="1:27" ht="14.25" customHeight="1" x14ac:dyDescent="0.3">
      <c r="A325" t="s">
        <v>393</v>
      </c>
      <c r="B325" t="s">
        <v>394</v>
      </c>
      <c r="C325" t="s">
        <v>395</v>
      </c>
      <c r="D325">
        <v>40</v>
      </c>
      <c r="E325" t="s">
        <v>52</v>
      </c>
      <c r="F325" t="s">
        <v>168</v>
      </c>
      <c r="G325" t="s">
        <v>396</v>
      </c>
      <c r="H325" t="s">
        <v>397</v>
      </c>
      <c r="I325" t="s">
        <v>1495</v>
      </c>
      <c r="J325" s="8">
        <v>45527</v>
      </c>
      <c r="K325" t="s">
        <v>1496</v>
      </c>
      <c r="L325" t="s">
        <v>553</v>
      </c>
      <c r="M325">
        <v>425.59</v>
      </c>
      <c r="N325">
        <v>5</v>
      </c>
      <c r="O325" t="s">
        <v>63</v>
      </c>
      <c r="P325">
        <v>4</v>
      </c>
      <c r="Q325">
        <v>43</v>
      </c>
      <c r="R325" s="8">
        <v>45531</v>
      </c>
      <c r="S325" t="s">
        <v>1497</v>
      </c>
      <c r="T325" s="34">
        <f t="shared" si="40"/>
        <v>4</v>
      </c>
      <c r="U325" s="34">
        <f t="shared" si="41"/>
        <v>2127.9499999999998</v>
      </c>
      <c r="V325" s="34">
        <f t="shared" si="42"/>
        <v>2170.9499999999998</v>
      </c>
      <c r="W325" s="36">
        <f t="shared" si="47"/>
        <v>0</v>
      </c>
      <c r="X325" s="34">
        <f t="shared" si="43"/>
        <v>2170.9499999999998</v>
      </c>
      <c r="Y325" s="34" t="str">
        <f t="shared" si="44"/>
        <v>Jason Lopez</v>
      </c>
      <c r="Z325" s="34" t="str">
        <f t="shared" si="45"/>
        <v>Intime</v>
      </c>
      <c r="AA325" s="34" t="str">
        <f t="shared" si="46"/>
        <v>outlook.com</v>
      </c>
    </row>
    <row r="326" spans="1:27" ht="14.25" customHeight="1" x14ac:dyDescent="0.3">
      <c r="A326" t="s">
        <v>1457</v>
      </c>
      <c r="B326" t="s">
        <v>273</v>
      </c>
      <c r="C326" t="s">
        <v>1458</v>
      </c>
      <c r="D326">
        <v>30</v>
      </c>
      <c r="E326" t="s">
        <v>29</v>
      </c>
      <c r="F326" t="s">
        <v>220</v>
      </c>
      <c r="G326" t="s">
        <v>1459</v>
      </c>
      <c r="H326" t="s">
        <v>1460</v>
      </c>
      <c r="I326" t="s">
        <v>1498</v>
      </c>
      <c r="J326" s="8">
        <v>45420</v>
      </c>
      <c r="K326" t="s">
        <v>1499</v>
      </c>
      <c r="L326" t="s">
        <v>114</v>
      </c>
      <c r="M326">
        <v>48.45</v>
      </c>
      <c r="N326">
        <v>3</v>
      </c>
      <c r="O326" t="s">
        <v>96</v>
      </c>
      <c r="P326">
        <v>2</v>
      </c>
      <c r="Q326">
        <v>63</v>
      </c>
      <c r="R326" s="8">
        <v>45422</v>
      </c>
      <c r="S326" t="s">
        <v>1500</v>
      </c>
      <c r="T326" s="33">
        <f t="shared" si="40"/>
        <v>2</v>
      </c>
      <c r="U326" s="33">
        <f t="shared" si="41"/>
        <v>145.35000000000002</v>
      </c>
      <c r="V326" s="33">
        <f t="shared" si="42"/>
        <v>208.35000000000002</v>
      </c>
      <c r="W326" s="36">
        <f t="shared" si="47"/>
        <v>0.1</v>
      </c>
      <c r="X326" s="33">
        <f t="shared" si="43"/>
        <v>187.51500000000001</v>
      </c>
      <c r="Y326" s="33" t="str">
        <f t="shared" si="44"/>
        <v>Lauren Lane</v>
      </c>
      <c r="Z326" s="33" t="str">
        <f t="shared" si="45"/>
        <v>Intime</v>
      </c>
      <c r="AA326" s="33" t="str">
        <f t="shared" si="46"/>
        <v>gmail.com</v>
      </c>
    </row>
    <row r="327" spans="1:27" ht="14.25" customHeight="1" x14ac:dyDescent="0.3">
      <c r="A327" t="s">
        <v>1238</v>
      </c>
      <c r="B327" t="s">
        <v>1239</v>
      </c>
      <c r="C327" t="s">
        <v>1240</v>
      </c>
      <c r="D327">
        <v>55</v>
      </c>
      <c r="E327" t="s">
        <v>41</v>
      </c>
      <c r="F327" t="s">
        <v>159</v>
      </c>
      <c r="G327" t="s">
        <v>1241</v>
      </c>
      <c r="H327" t="s">
        <v>1242</v>
      </c>
      <c r="I327" t="s">
        <v>1501</v>
      </c>
      <c r="J327" s="8">
        <v>45186</v>
      </c>
      <c r="K327" t="s">
        <v>1502</v>
      </c>
      <c r="L327" t="s">
        <v>182</v>
      </c>
      <c r="M327">
        <v>104.18</v>
      </c>
      <c r="N327">
        <v>2</v>
      </c>
      <c r="O327" t="s">
        <v>36</v>
      </c>
      <c r="P327">
        <v>4</v>
      </c>
      <c r="Q327">
        <v>43</v>
      </c>
      <c r="R327" s="8">
        <v>45190</v>
      </c>
      <c r="S327" t="s">
        <v>1503</v>
      </c>
      <c r="T327" s="34">
        <f t="shared" si="40"/>
        <v>4</v>
      </c>
      <c r="U327" s="34">
        <f t="shared" si="41"/>
        <v>208.36</v>
      </c>
      <c r="V327" s="34">
        <f t="shared" si="42"/>
        <v>251.36</v>
      </c>
      <c r="W327" s="36">
        <f t="shared" si="47"/>
        <v>0.08</v>
      </c>
      <c r="X327" s="34">
        <f t="shared" si="43"/>
        <v>231.25120000000001</v>
      </c>
      <c r="Y327" s="34" t="str">
        <f t="shared" si="44"/>
        <v>Hannah Gutierrez</v>
      </c>
      <c r="Z327" s="34" t="str">
        <f t="shared" si="45"/>
        <v>Intime</v>
      </c>
      <c r="AA327" s="34" t="str">
        <f t="shared" si="46"/>
        <v>yahoo.com</v>
      </c>
    </row>
    <row r="328" spans="1:27" ht="14.25" customHeight="1" x14ac:dyDescent="0.3">
      <c r="A328" t="s">
        <v>1246</v>
      </c>
      <c r="B328" t="s">
        <v>66</v>
      </c>
      <c r="C328" t="s">
        <v>1247</v>
      </c>
      <c r="D328">
        <v>40</v>
      </c>
      <c r="E328" t="s">
        <v>29</v>
      </c>
      <c r="F328" t="s">
        <v>76</v>
      </c>
      <c r="G328" t="s">
        <v>1248</v>
      </c>
      <c r="H328" t="s">
        <v>1249</v>
      </c>
      <c r="I328" t="s">
        <v>1504</v>
      </c>
      <c r="J328" s="8">
        <v>45195</v>
      </c>
      <c r="K328" t="s">
        <v>1505</v>
      </c>
      <c r="L328" t="s">
        <v>637</v>
      </c>
      <c r="M328">
        <v>445.81</v>
      </c>
      <c r="N328">
        <v>1</v>
      </c>
      <c r="O328" t="s">
        <v>63</v>
      </c>
      <c r="P328">
        <v>1</v>
      </c>
      <c r="Q328">
        <v>51</v>
      </c>
      <c r="R328" s="8">
        <v>45198</v>
      </c>
      <c r="S328" t="s">
        <v>1506</v>
      </c>
      <c r="T328" s="33">
        <f t="shared" si="40"/>
        <v>3</v>
      </c>
      <c r="U328" s="33">
        <f t="shared" si="41"/>
        <v>445.81</v>
      </c>
      <c r="V328" s="33">
        <f t="shared" si="42"/>
        <v>496.81</v>
      </c>
      <c r="W328" s="36">
        <f t="shared" si="47"/>
        <v>0</v>
      </c>
      <c r="X328" s="33">
        <f t="shared" si="43"/>
        <v>496.81</v>
      </c>
      <c r="Y328" s="33" t="str">
        <f t="shared" si="44"/>
        <v>Angela Casey</v>
      </c>
      <c r="Z328" s="33" t="str">
        <f t="shared" si="45"/>
        <v>Late</v>
      </c>
      <c r="AA328" s="33" t="str">
        <f t="shared" si="46"/>
        <v>gmail.com</v>
      </c>
    </row>
    <row r="329" spans="1:27" ht="14.25" customHeight="1" x14ac:dyDescent="0.3">
      <c r="A329" t="s">
        <v>1342</v>
      </c>
      <c r="B329" t="s">
        <v>508</v>
      </c>
      <c r="C329" t="s">
        <v>1343</v>
      </c>
      <c r="D329">
        <v>40</v>
      </c>
      <c r="E329" t="s">
        <v>52</v>
      </c>
      <c r="F329" t="s">
        <v>220</v>
      </c>
      <c r="G329" t="s">
        <v>1344</v>
      </c>
      <c r="H329" t="s">
        <v>1345</v>
      </c>
      <c r="I329" t="s">
        <v>1507</v>
      </c>
      <c r="J329" s="8">
        <v>45573</v>
      </c>
      <c r="K329" t="s">
        <v>1508</v>
      </c>
      <c r="L329" t="s">
        <v>234</v>
      </c>
      <c r="M329">
        <v>132.97</v>
      </c>
      <c r="N329">
        <v>2</v>
      </c>
      <c r="O329" t="s">
        <v>96</v>
      </c>
      <c r="P329">
        <v>6</v>
      </c>
      <c r="Q329">
        <v>69</v>
      </c>
      <c r="R329" s="8">
        <v>45578</v>
      </c>
      <c r="S329" t="s">
        <v>1509</v>
      </c>
      <c r="T329" s="34">
        <f t="shared" si="40"/>
        <v>5</v>
      </c>
      <c r="U329" s="34">
        <f t="shared" si="41"/>
        <v>265.94</v>
      </c>
      <c r="V329" s="34">
        <f t="shared" si="42"/>
        <v>334.94</v>
      </c>
      <c r="W329" s="36">
        <f t="shared" si="47"/>
        <v>0.1</v>
      </c>
      <c r="X329" s="34">
        <f t="shared" si="43"/>
        <v>301.44600000000003</v>
      </c>
      <c r="Y329" s="34" t="str">
        <f t="shared" si="44"/>
        <v>Sarah Benson</v>
      </c>
      <c r="Z329" s="34" t="str">
        <f t="shared" si="45"/>
        <v>BeforeTime</v>
      </c>
      <c r="AA329" s="34" t="str">
        <f t="shared" si="46"/>
        <v>outlook.com</v>
      </c>
    </row>
    <row r="330" spans="1:27" ht="14.25" customHeight="1" x14ac:dyDescent="0.3">
      <c r="A330" t="s">
        <v>1238</v>
      </c>
      <c r="B330" t="s">
        <v>1239</v>
      </c>
      <c r="C330" t="s">
        <v>1240</v>
      </c>
      <c r="D330">
        <v>55</v>
      </c>
      <c r="E330" t="s">
        <v>41</v>
      </c>
      <c r="F330" t="s">
        <v>159</v>
      </c>
      <c r="G330" t="s">
        <v>1241</v>
      </c>
      <c r="H330" t="s">
        <v>1242</v>
      </c>
      <c r="I330" t="s">
        <v>1510</v>
      </c>
      <c r="J330" s="8">
        <v>45384</v>
      </c>
      <c r="K330" t="s">
        <v>1511</v>
      </c>
      <c r="L330" t="s">
        <v>495</v>
      </c>
      <c r="M330">
        <v>421.7</v>
      </c>
      <c r="N330">
        <v>4</v>
      </c>
      <c r="O330" t="s">
        <v>36</v>
      </c>
      <c r="P330">
        <v>5</v>
      </c>
      <c r="Q330">
        <v>55</v>
      </c>
      <c r="R330" s="8">
        <v>45389</v>
      </c>
      <c r="S330" t="s">
        <v>1512</v>
      </c>
      <c r="T330" s="33">
        <f t="shared" si="40"/>
        <v>5</v>
      </c>
      <c r="U330" s="33">
        <f t="shared" si="41"/>
        <v>1686.8</v>
      </c>
      <c r="V330" s="33">
        <f t="shared" si="42"/>
        <v>1741.8</v>
      </c>
      <c r="W330" s="36">
        <f t="shared" si="47"/>
        <v>0.08</v>
      </c>
      <c r="X330" s="33">
        <f t="shared" si="43"/>
        <v>1602.4560000000001</v>
      </c>
      <c r="Y330" s="33" t="str">
        <f t="shared" si="44"/>
        <v>Hannah Gutierrez</v>
      </c>
      <c r="Z330" s="33" t="str">
        <f t="shared" si="45"/>
        <v>Intime</v>
      </c>
      <c r="AA330" s="33" t="str">
        <f t="shared" si="46"/>
        <v>yahoo.com</v>
      </c>
    </row>
    <row r="331" spans="1:27" ht="14.25" customHeight="1" x14ac:dyDescent="0.3">
      <c r="A331" t="s">
        <v>1238</v>
      </c>
      <c r="B331" t="s">
        <v>1239</v>
      </c>
      <c r="C331" t="s">
        <v>1240</v>
      </c>
      <c r="D331">
        <v>55</v>
      </c>
      <c r="E331" t="s">
        <v>41</v>
      </c>
      <c r="F331" t="s">
        <v>159</v>
      </c>
      <c r="G331" t="s">
        <v>1241</v>
      </c>
      <c r="H331" t="s">
        <v>1242</v>
      </c>
      <c r="I331" t="s">
        <v>1513</v>
      </c>
      <c r="J331" s="8">
        <v>45388</v>
      </c>
      <c r="K331" t="s">
        <v>1514</v>
      </c>
      <c r="L331" t="s">
        <v>573</v>
      </c>
      <c r="M331">
        <v>477.52</v>
      </c>
      <c r="N331">
        <v>1</v>
      </c>
      <c r="O331" t="s">
        <v>63</v>
      </c>
      <c r="P331">
        <v>7</v>
      </c>
      <c r="Q331">
        <v>48</v>
      </c>
      <c r="R331" s="8">
        <v>45393</v>
      </c>
      <c r="S331" t="s">
        <v>1515</v>
      </c>
      <c r="T331" s="34">
        <f t="shared" si="40"/>
        <v>5</v>
      </c>
      <c r="U331" s="34">
        <f t="shared" si="41"/>
        <v>477.52</v>
      </c>
      <c r="V331" s="34">
        <f t="shared" si="42"/>
        <v>525.52</v>
      </c>
      <c r="W331" s="36">
        <f t="shared" si="47"/>
        <v>0</v>
      </c>
      <c r="X331" s="34">
        <f t="shared" si="43"/>
        <v>525.52</v>
      </c>
      <c r="Y331" s="34" t="str">
        <f t="shared" si="44"/>
        <v>Hannah Gutierrez</v>
      </c>
      <c r="Z331" s="34" t="str">
        <f t="shared" si="45"/>
        <v>BeforeTime</v>
      </c>
      <c r="AA331" s="34" t="str">
        <f t="shared" si="46"/>
        <v>yahoo.com</v>
      </c>
    </row>
    <row r="332" spans="1:27" ht="14.25" customHeight="1" x14ac:dyDescent="0.3">
      <c r="A332" t="s">
        <v>458</v>
      </c>
      <c r="B332" t="s">
        <v>459</v>
      </c>
      <c r="C332" t="s">
        <v>460</v>
      </c>
      <c r="D332">
        <v>63</v>
      </c>
      <c r="E332" t="s">
        <v>29</v>
      </c>
      <c r="F332" t="s">
        <v>140</v>
      </c>
      <c r="G332" t="s">
        <v>461</v>
      </c>
      <c r="H332" t="s">
        <v>462</v>
      </c>
      <c r="I332" t="s">
        <v>1516</v>
      </c>
      <c r="J332" s="8">
        <v>45623</v>
      </c>
      <c r="K332" t="s">
        <v>1517</v>
      </c>
      <c r="L332" t="s">
        <v>774</v>
      </c>
      <c r="M332">
        <v>20</v>
      </c>
      <c r="N332">
        <v>2</v>
      </c>
      <c r="O332" t="s">
        <v>63</v>
      </c>
      <c r="P332">
        <v>5</v>
      </c>
      <c r="Q332">
        <v>55</v>
      </c>
      <c r="R332" s="8">
        <v>45629</v>
      </c>
      <c r="S332" t="s">
        <v>1518</v>
      </c>
      <c r="T332" s="33">
        <f t="shared" si="40"/>
        <v>6</v>
      </c>
      <c r="U332" s="33">
        <f t="shared" si="41"/>
        <v>40</v>
      </c>
      <c r="V332" s="33">
        <f t="shared" si="42"/>
        <v>95</v>
      </c>
      <c r="W332" s="36">
        <f t="shared" si="47"/>
        <v>0</v>
      </c>
      <c r="X332" s="33">
        <f t="shared" si="43"/>
        <v>95</v>
      </c>
      <c r="Y332" s="33" t="str">
        <f t="shared" si="44"/>
        <v>Rebecca Figueroa</v>
      </c>
      <c r="Z332" s="33" t="str">
        <f t="shared" si="45"/>
        <v>Late</v>
      </c>
      <c r="AA332" s="33" t="str">
        <f t="shared" si="46"/>
        <v>outlook.com</v>
      </c>
    </row>
    <row r="333" spans="1:27" ht="14.25" customHeight="1" x14ac:dyDescent="0.3">
      <c r="A333" t="s">
        <v>255</v>
      </c>
      <c r="B333" t="s">
        <v>256</v>
      </c>
      <c r="C333" t="s">
        <v>257</v>
      </c>
      <c r="D333">
        <v>60</v>
      </c>
      <c r="E333" t="s">
        <v>52</v>
      </c>
      <c r="F333" t="s">
        <v>30</v>
      </c>
      <c r="G333" t="s">
        <v>258</v>
      </c>
      <c r="H333" t="s">
        <v>259</v>
      </c>
      <c r="I333" t="s">
        <v>1519</v>
      </c>
      <c r="J333" s="8">
        <v>45498</v>
      </c>
      <c r="K333" t="s">
        <v>1520</v>
      </c>
      <c r="L333" t="s">
        <v>657</v>
      </c>
      <c r="M333">
        <v>235.63</v>
      </c>
      <c r="N333">
        <v>1</v>
      </c>
      <c r="O333" t="s">
        <v>96</v>
      </c>
      <c r="P333">
        <v>1</v>
      </c>
      <c r="Q333">
        <v>38</v>
      </c>
      <c r="R333" s="8">
        <v>45504</v>
      </c>
      <c r="S333" t="s">
        <v>1521</v>
      </c>
      <c r="T333" s="34">
        <f t="shared" si="40"/>
        <v>6</v>
      </c>
      <c r="U333" s="34">
        <f t="shared" si="41"/>
        <v>235.63</v>
      </c>
      <c r="V333" s="34">
        <f t="shared" si="42"/>
        <v>273.63</v>
      </c>
      <c r="W333" s="36">
        <f t="shared" si="47"/>
        <v>0.1</v>
      </c>
      <c r="X333" s="34">
        <f t="shared" si="43"/>
        <v>246.267</v>
      </c>
      <c r="Y333" s="34" t="str">
        <f t="shared" si="44"/>
        <v>Ashley Rose</v>
      </c>
      <c r="Z333" s="34" t="str">
        <f t="shared" si="45"/>
        <v>Late</v>
      </c>
      <c r="AA333" s="34" t="str">
        <f t="shared" si="46"/>
        <v>gmail.com</v>
      </c>
    </row>
    <row r="334" spans="1:27" ht="14.25" customHeight="1" x14ac:dyDescent="0.3">
      <c r="A334" t="s">
        <v>1210</v>
      </c>
      <c r="B334" t="s">
        <v>1211</v>
      </c>
      <c r="C334" t="s">
        <v>1212</v>
      </c>
      <c r="D334">
        <v>50</v>
      </c>
      <c r="E334" t="s">
        <v>52</v>
      </c>
      <c r="F334" t="s">
        <v>168</v>
      </c>
      <c r="G334" t="s">
        <v>1213</v>
      </c>
      <c r="H334" t="s">
        <v>1214</v>
      </c>
      <c r="I334" t="s">
        <v>1522</v>
      </c>
      <c r="J334" s="8">
        <v>45289</v>
      </c>
      <c r="K334" t="s">
        <v>1523</v>
      </c>
      <c r="L334" t="s">
        <v>984</v>
      </c>
      <c r="M334">
        <v>33.49</v>
      </c>
      <c r="N334">
        <v>4</v>
      </c>
      <c r="O334" t="s">
        <v>58</v>
      </c>
      <c r="P334">
        <v>4</v>
      </c>
      <c r="Q334">
        <v>67</v>
      </c>
      <c r="R334" s="8">
        <v>45294</v>
      </c>
      <c r="S334" t="s">
        <v>1524</v>
      </c>
      <c r="T334" s="33">
        <f t="shared" si="40"/>
        <v>5</v>
      </c>
      <c r="U334" s="33">
        <f t="shared" si="41"/>
        <v>133.96</v>
      </c>
      <c r="V334" s="33">
        <f t="shared" si="42"/>
        <v>200.96</v>
      </c>
      <c r="W334" s="36">
        <f t="shared" si="47"/>
        <v>0.15</v>
      </c>
      <c r="X334" s="33">
        <f t="shared" si="43"/>
        <v>170.816</v>
      </c>
      <c r="Y334" s="33" t="str">
        <f t="shared" si="44"/>
        <v>Brendan Kelly</v>
      </c>
      <c r="Z334" s="33" t="str">
        <f t="shared" si="45"/>
        <v>Late</v>
      </c>
      <c r="AA334" s="33" t="str">
        <f t="shared" si="46"/>
        <v>rediffmail.com</v>
      </c>
    </row>
    <row r="335" spans="1:27" ht="14.25" customHeight="1" x14ac:dyDescent="0.3">
      <c r="A335" t="s">
        <v>333</v>
      </c>
      <c r="B335" t="s">
        <v>334</v>
      </c>
      <c r="C335" t="s">
        <v>335</v>
      </c>
      <c r="D335">
        <v>23</v>
      </c>
      <c r="E335" t="s">
        <v>29</v>
      </c>
      <c r="F335" t="s">
        <v>30</v>
      </c>
      <c r="G335" t="s">
        <v>336</v>
      </c>
      <c r="H335" t="s">
        <v>337</v>
      </c>
      <c r="I335" t="s">
        <v>1525</v>
      </c>
      <c r="J335" s="8">
        <v>45271</v>
      </c>
      <c r="K335" t="s">
        <v>1526</v>
      </c>
      <c r="L335" t="s">
        <v>514</v>
      </c>
      <c r="M335">
        <v>136.30000000000001</v>
      </c>
      <c r="N335">
        <v>4</v>
      </c>
      <c r="O335" t="s">
        <v>96</v>
      </c>
      <c r="P335">
        <v>1</v>
      </c>
      <c r="Q335">
        <v>35</v>
      </c>
      <c r="R335" s="8">
        <v>45275</v>
      </c>
      <c r="S335" t="s">
        <v>1527</v>
      </c>
      <c r="T335" s="34">
        <f t="shared" si="40"/>
        <v>4</v>
      </c>
      <c r="U335" s="34">
        <f t="shared" si="41"/>
        <v>545.20000000000005</v>
      </c>
      <c r="V335" s="34">
        <f t="shared" si="42"/>
        <v>580.20000000000005</v>
      </c>
      <c r="W335" s="36">
        <f t="shared" si="47"/>
        <v>0.1</v>
      </c>
      <c r="X335" s="34">
        <f t="shared" si="43"/>
        <v>522.18000000000006</v>
      </c>
      <c r="Y335" s="34" t="str">
        <f t="shared" si="44"/>
        <v>Julie Meyer</v>
      </c>
      <c r="Z335" s="34" t="str">
        <f t="shared" si="45"/>
        <v>Late</v>
      </c>
      <c r="AA335" s="34" t="str">
        <f t="shared" si="46"/>
        <v>yahoo.com</v>
      </c>
    </row>
    <row r="336" spans="1:27" ht="14.25" customHeight="1" x14ac:dyDescent="0.3">
      <c r="A336" t="s">
        <v>986</v>
      </c>
      <c r="B336" t="s">
        <v>987</v>
      </c>
      <c r="C336" t="s">
        <v>988</v>
      </c>
      <c r="D336">
        <v>49</v>
      </c>
      <c r="E336" t="s">
        <v>29</v>
      </c>
      <c r="F336" t="s">
        <v>42</v>
      </c>
      <c r="G336" t="s">
        <v>989</v>
      </c>
      <c r="H336" t="s">
        <v>990</v>
      </c>
      <c r="I336" t="s">
        <v>1528</v>
      </c>
      <c r="J336" s="8">
        <v>45122</v>
      </c>
      <c r="K336" t="s">
        <v>1529</v>
      </c>
      <c r="L336" t="s">
        <v>246</v>
      </c>
      <c r="M336">
        <v>282.63</v>
      </c>
      <c r="N336">
        <v>4</v>
      </c>
      <c r="O336" t="s">
        <v>96</v>
      </c>
      <c r="P336">
        <v>1</v>
      </c>
      <c r="Q336">
        <v>48</v>
      </c>
      <c r="R336" s="8">
        <v>45125</v>
      </c>
      <c r="S336" t="s">
        <v>1530</v>
      </c>
      <c r="T336" s="33">
        <f t="shared" si="40"/>
        <v>3</v>
      </c>
      <c r="U336" s="33">
        <f t="shared" si="41"/>
        <v>1130.52</v>
      </c>
      <c r="V336" s="33">
        <f t="shared" si="42"/>
        <v>1178.52</v>
      </c>
      <c r="W336" s="36">
        <f t="shared" si="47"/>
        <v>0.1</v>
      </c>
      <c r="X336" s="33">
        <f t="shared" si="43"/>
        <v>1060.6680000000001</v>
      </c>
      <c r="Y336" s="33" t="str">
        <f t="shared" si="44"/>
        <v>Natasha Michael</v>
      </c>
      <c r="Z336" s="33" t="str">
        <f t="shared" si="45"/>
        <v>Late</v>
      </c>
      <c r="AA336" s="33" t="str">
        <f t="shared" si="46"/>
        <v>gmail.com</v>
      </c>
    </row>
    <row r="337" spans="1:27" ht="14.25" customHeight="1" x14ac:dyDescent="0.3">
      <c r="A337" t="s">
        <v>839</v>
      </c>
      <c r="B337" t="s">
        <v>840</v>
      </c>
      <c r="C337" t="s">
        <v>841</v>
      </c>
      <c r="D337">
        <v>26</v>
      </c>
      <c r="E337" t="s">
        <v>41</v>
      </c>
      <c r="F337" t="s">
        <v>159</v>
      </c>
      <c r="G337" t="s">
        <v>842</v>
      </c>
      <c r="H337" t="s">
        <v>843</v>
      </c>
      <c r="I337" t="s">
        <v>1531</v>
      </c>
      <c r="J337" s="8">
        <v>45627</v>
      </c>
      <c r="K337" t="s">
        <v>1532</v>
      </c>
      <c r="L337" t="s">
        <v>173</v>
      </c>
      <c r="M337">
        <v>272.51</v>
      </c>
      <c r="N337">
        <v>5</v>
      </c>
      <c r="O337" t="s">
        <v>96</v>
      </c>
      <c r="P337">
        <v>4</v>
      </c>
      <c r="Q337">
        <v>45</v>
      </c>
      <c r="R337" s="8">
        <v>45630</v>
      </c>
      <c r="S337" t="s">
        <v>1533</v>
      </c>
      <c r="T337" s="34">
        <f t="shared" si="40"/>
        <v>3</v>
      </c>
      <c r="U337" s="34">
        <f t="shared" si="41"/>
        <v>1362.55</v>
      </c>
      <c r="V337" s="34">
        <f t="shared" si="42"/>
        <v>1407.55</v>
      </c>
      <c r="W337" s="36">
        <f t="shared" si="47"/>
        <v>0.1</v>
      </c>
      <c r="X337" s="34">
        <f t="shared" si="43"/>
        <v>1266.7950000000001</v>
      </c>
      <c r="Y337" s="34" t="str">
        <f t="shared" si="44"/>
        <v>Leslie Montgomery</v>
      </c>
      <c r="Z337" s="34" t="str">
        <f t="shared" si="45"/>
        <v>BeforeTime</v>
      </c>
      <c r="AA337" s="34" t="str">
        <f t="shared" si="46"/>
        <v>gmail.com</v>
      </c>
    </row>
    <row r="338" spans="1:27" ht="14.25" customHeight="1" x14ac:dyDescent="0.3">
      <c r="A338" t="s">
        <v>831</v>
      </c>
      <c r="B338" t="s">
        <v>832</v>
      </c>
      <c r="C338" t="s">
        <v>833</v>
      </c>
      <c r="D338">
        <v>60</v>
      </c>
      <c r="E338" t="s">
        <v>29</v>
      </c>
      <c r="F338" t="s">
        <v>140</v>
      </c>
      <c r="G338" t="s">
        <v>834</v>
      </c>
      <c r="H338" t="s">
        <v>835</v>
      </c>
      <c r="I338" t="s">
        <v>1534</v>
      </c>
      <c r="J338" s="8">
        <v>45053</v>
      </c>
      <c r="K338" t="s">
        <v>1535</v>
      </c>
      <c r="L338" t="s">
        <v>105</v>
      </c>
      <c r="M338">
        <v>275.44</v>
      </c>
      <c r="N338">
        <v>2</v>
      </c>
      <c r="O338" t="s">
        <v>58</v>
      </c>
      <c r="P338">
        <v>4</v>
      </c>
      <c r="Q338">
        <v>54</v>
      </c>
      <c r="R338" s="8">
        <v>45059</v>
      </c>
      <c r="S338" t="s">
        <v>1536</v>
      </c>
      <c r="T338" s="33">
        <f t="shared" si="40"/>
        <v>6</v>
      </c>
      <c r="U338" s="33">
        <f t="shared" si="41"/>
        <v>550.88</v>
      </c>
      <c r="V338" s="33">
        <f t="shared" si="42"/>
        <v>604.88</v>
      </c>
      <c r="W338" s="36">
        <f t="shared" si="47"/>
        <v>0.15</v>
      </c>
      <c r="X338" s="33">
        <f t="shared" si="43"/>
        <v>514.14800000000002</v>
      </c>
      <c r="Y338" s="33" t="str">
        <f t="shared" si="44"/>
        <v>James Brown</v>
      </c>
      <c r="Z338" s="33" t="str">
        <f t="shared" si="45"/>
        <v>Late</v>
      </c>
      <c r="AA338" s="33" t="str">
        <f t="shared" si="46"/>
        <v>yahoo.com</v>
      </c>
    </row>
    <row r="339" spans="1:27" ht="14.25" customHeight="1" x14ac:dyDescent="0.3">
      <c r="A339" t="s">
        <v>366</v>
      </c>
      <c r="B339" t="s">
        <v>367</v>
      </c>
      <c r="C339" t="s">
        <v>368</v>
      </c>
      <c r="D339">
        <v>31</v>
      </c>
      <c r="E339" t="s">
        <v>52</v>
      </c>
      <c r="F339" t="s">
        <v>140</v>
      </c>
      <c r="G339" t="s">
        <v>369</v>
      </c>
      <c r="H339" t="s">
        <v>370</v>
      </c>
      <c r="I339" t="s">
        <v>1537</v>
      </c>
      <c r="J339" s="8">
        <v>45148</v>
      </c>
      <c r="K339" t="s">
        <v>1538</v>
      </c>
      <c r="L339" t="s">
        <v>518</v>
      </c>
      <c r="M339">
        <v>441.03</v>
      </c>
      <c r="N339">
        <v>2</v>
      </c>
      <c r="O339" t="s">
        <v>36</v>
      </c>
      <c r="P339">
        <v>3</v>
      </c>
      <c r="Q339">
        <v>62</v>
      </c>
      <c r="R339" s="8">
        <v>45151</v>
      </c>
      <c r="S339" t="s">
        <v>1539</v>
      </c>
      <c r="T339" s="34">
        <f t="shared" si="40"/>
        <v>3</v>
      </c>
      <c r="U339" s="34">
        <f t="shared" si="41"/>
        <v>882.06</v>
      </c>
      <c r="V339" s="34">
        <f t="shared" si="42"/>
        <v>944.06</v>
      </c>
      <c r="W339" s="36">
        <f t="shared" si="47"/>
        <v>0.08</v>
      </c>
      <c r="X339" s="34">
        <f t="shared" si="43"/>
        <v>868.53520000000003</v>
      </c>
      <c r="Y339" s="34" t="str">
        <f t="shared" si="44"/>
        <v>Timothy Hicks</v>
      </c>
      <c r="Z339" s="34" t="str">
        <f t="shared" si="45"/>
        <v>Intime</v>
      </c>
      <c r="AA339" s="34" t="str">
        <f t="shared" si="46"/>
        <v>gmail.com</v>
      </c>
    </row>
    <row r="340" spans="1:27" ht="14.25" customHeight="1" x14ac:dyDescent="0.3">
      <c r="A340" t="s">
        <v>393</v>
      </c>
      <c r="B340" t="s">
        <v>394</v>
      </c>
      <c r="C340" t="s">
        <v>395</v>
      </c>
      <c r="D340">
        <v>40</v>
      </c>
      <c r="E340" t="s">
        <v>52</v>
      </c>
      <c r="F340" t="s">
        <v>168</v>
      </c>
      <c r="G340" t="s">
        <v>396</v>
      </c>
      <c r="H340" t="s">
        <v>397</v>
      </c>
      <c r="I340" t="s">
        <v>1540</v>
      </c>
      <c r="J340" s="8">
        <v>45285</v>
      </c>
      <c r="K340" t="s">
        <v>1541</v>
      </c>
      <c r="L340" t="s">
        <v>308</v>
      </c>
      <c r="M340">
        <v>129.75</v>
      </c>
      <c r="N340">
        <v>2</v>
      </c>
      <c r="O340" t="s">
        <v>58</v>
      </c>
      <c r="P340">
        <v>1</v>
      </c>
      <c r="Q340">
        <v>62</v>
      </c>
      <c r="R340" s="8">
        <v>45290</v>
      </c>
      <c r="S340" t="s">
        <v>1542</v>
      </c>
      <c r="T340" s="33">
        <f t="shared" si="40"/>
        <v>5</v>
      </c>
      <c r="U340" s="33">
        <f t="shared" si="41"/>
        <v>259.5</v>
      </c>
      <c r="V340" s="33">
        <f t="shared" si="42"/>
        <v>321.5</v>
      </c>
      <c r="W340" s="36">
        <f t="shared" si="47"/>
        <v>0.15</v>
      </c>
      <c r="X340" s="33">
        <f t="shared" si="43"/>
        <v>273.27499999999998</v>
      </c>
      <c r="Y340" s="33" t="str">
        <f t="shared" si="44"/>
        <v>Jason Lopez</v>
      </c>
      <c r="Z340" s="33" t="str">
        <f t="shared" si="45"/>
        <v>Late</v>
      </c>
      <c r="AA340" s="33" t="str">
        <f t="shared" si="46"/>
        <v>outlook.com</v>
      </c>
    </row>
    <row r="341" spans="1:27" ht="14.25" customHeight="1" x14ac:dyDescent="0.3">
      <c r="A341" t="s">
        <v>1332</v>
      </c>
      <c r="B341" t="s">
        <v>1333</v>
      </c>
      <c r="C341" t="s">
        <v>395</v>
      </c>
      <c r="D341">
        <v>18</v>
      </c>
      <c r="E341" t="s">
        <v>41</v>
      </c>
      <c r="F341" t="s">
        <v>220</v>
      </c>
      <c r="G341" t="s">
        <v>1334</v>
      </c>
      <c r="H341" t="s">
        <v>1335</v>
      </c>
      <c r="I341" t="s">
        <v>1543</v>
      </c>
      <c r="J341" s="8">
        <v>45682</v>
      </c>
      <c r="K341" t="s">
        <v>1544</v>
      </c>
      <c r="L341" t="s">
        <v>573</v>
      </c>
      <c r="M341">
        <v>477.52</v>
      </c>
      <c r="N341">
        <v>3</v>
      </c>
      <c r="O341" t="s">
        <v>85</v>
      </c>
      <c r="P341">
        <v>7</v>
      </c>
      <c r="Q341">
        <v>41</v>
      </c>
      <c r="R341" s="8">
        <v>45686</v>
      </c>
      <c r="S341" t="s">
        <v>1545</v>
      </c>
      <c r="T341" s="34">
        <f t="shared" si="40"/>
        <v>4</v>
      </c>
      <c r="U341" s="34">
        <f t="shared" si="41"/>
        <v>1432.56</v>
      </c>
      <c r="V341" s="34">
        <f t="shared" si="42"/>
        <v>1473.56</v>
      </c>
      <c r="W341" s="36">
        <f t="shared" si="47"/>
        <v>0.2</v>
      </c>
      <c r="X341" s="34">
        <f t="shared" si="43"/>
        <v>1178.848</v>
      </c>
      <c r="Y341" s="34" t="str">
        <f t="shared" si="44"/>
        <v>Veronica Lopez</v>
      </c>
      <c r="Z341" s="34" t="str">
        <f t="shared" si="45"/>
        <v>BeforeTime</v>
      </c>
      <c r="AA341" s="34" t="str">
        <f t="shared" si="46"/>
        <v>gmail.com</v>
      </c>
    </row>
    <row r="342" spans="1:27" ht="14.25" customHeight="1" x14ac:dyDescent="0.3">
      <c r="A342" t="s">
        <v>500</v>
      </c>
      <c r="B342" t="s">
        <v>501</v>
      </c>
      <c r="C342" t="s">
        <v>387</v>
      </c>
      <c r="D342">
        <v>57</v>
      </c>
      <c r="E342" t="s">
        <v>41</v>
      </c>
      <c r="F342" t="s">
        <v>220</v>
      </c>
      <c r="G342" t="s">
        <v>502</v>
      </c>
      <c r="H342" t="s">
        <v>503</v>
      </c>
      <c r="I342" t="s">
        <v>1546</v>
      </c>
      <c r="J342" s="8">
        <v>45453</v>
      </c>
      <c r="K342" t="s">
        <v>1547</v>
      </c>
      <c r="L342" t="s">
        <v>941</v>
      </c>
      <c r="M342">
        <v>107.47</v>
      </c>
      <c r="N342">
        <v>3</v>
      </c>
      <c r="O342" t="s">
        <v>96</v>
      </c>
      <c r="P342">
        <v>4</v>
      </c>
      <c r="Q342">
        <v>59</v>
      </c>
      <c r="R342" s="8">
        <v>45454</v>
      </c>
      <c r="S342" t="s">
        <v>1548</v>
      </c>
      <c r="T342" s="33">
        <f t="shared" si="40"/>
        <v>1</v>
      </c>
      <c r="U342" s="33">
        <f t="shared" si="41"/>
        <v>322.40999999999997</v>
      </c>
      <c r="V342" s="33">
        <f t="shared" si="42"/>
        <v>381.40999999999997</v>
      </c>
      <c r="W342" s="36">
        <f t="shared" si="47"/>
        <v>0.1</v>
      </c>
      <c r="X342" s="33">
        <f t="shared" si="43"/>
        <v>343.26900000000001</v>
      </c>
      <c r="Y342" s="33" t="str">
        <f t="shared" si="44"/>
        <v>Sharon Thompson</v>
      </c>
      <c r="Z342" s="33" t="str">
        <f t="shared" si="45"/>
        <v>BeforeTime</v>
      </c>
      <c r="AA342" s="33" t="str">
        <f t="shared" si="46"/>
        <v>yahoo.com</v>
      </c>
    </row>
    <row r="343" spans="1:27" ht="14.25" customHeight="1" x14ac:dyDescent="0.3">
      <c r="A343" t="s">
        <v>767</v>
      </c>
      <c r="B343" t="s">
        <v>768</v>
      </c>
      <c r="C343" t="s">
        <v>769</v>
      </c>
      <c r="D343">
        <v>27</v>
      </c>
      <c r="E343" t="s">
        <v>29</v>
      </c>
      <c r="F343" t="s">
        <v>42</v>
      </c>
      <c r="G343" t="s">
        <v>770</v>
      </c>
      <c r="H343" t="s">
        <v>771</v>
      </c>
      <c r="I343" t="s">
        <v>1549</v>
      </c>
      <c r="J343" s="8">
        <v>45185</v>
      </c>
      <c r="K343" t="s">
        <v>1550</v>
      </c>
      <c r="L343" t="s">
        <v>291</v>
      </c>
      <c r="M343">
        <v>158.53</v>
      </c>
      <c r="N343">
        <v>2</v>
      </c>
      <c r="O343" t="s">
        <v>36</v>
      </c>
      <c r="P343">
        <v>2</v>
      </c>
      <c r="Q343">
        <v>56</v>
      </c>
      <c r="R343" s="8">
        <v>45187</v>
      </c>
      <c r="S343" t="s">
        <v>1551</v>
      </c>
      <c r="T343" s="34">
        <f t="shared" si="40"/>
        <v>2</v>
      </c>
      <c r="U343" s="34">
        <f t="shared" si="41"/>
        <v>317.06</v>
      </c>
      <c r="V343" s="34">
        <f t="shared" si="42"/>
        <v>373.06</v>
      </c>
      <c r="W343" s="36">
        <f t="shared" si="47"/>
        <v>0.08</v>
      </c>
      <c r="X343" s="34">
        <f t="shared" si="43"/>
        <v>343.21520000000004</v>
      </c>
      <c r="Y343" s="34" t="str">
        <f t="shared" si="44"/>
        <v>Kristina Haynes</v>
      </c>
      <c r="Z343" s="34" t="str">
        <f t="shared" si="45"/>
        <v>Intime</v>
      </c>
      <c r="AA343" s="34" t="str">
        <f t="shared" si="46"/>
        <v>yahoo.com</v>
      </c>
    </row>
    <row r="344" spans="1:27" ht="14.25" customHeight="1" x14ac:dyDescent="0.3">
      <c r="A344" t="s">
        <v>1457</v>
      </c>
      <c r="B344" t="s">
        <v>273</v>
      </c>
      <c r="C344" t="s">
        <v>1458</v>
      </c>
      <c r="D344">
        <v>30</v>
      </c>
      <c r="E344" t="s">
        <v>29</v>
      </c>
      <c r="F344" t="s">
        <v>220</v>
      </c>
      <c r="G344" t="s">
        <v>1459</v>
      </c>
      <c r="H344" t="s">
        <v>1460</v>
      </c>
      <c r="I344" t="s">
        <v>1552</v>
      </c>
      <c r="J344" s="8">
        <v>45423</v>
      </c>
      <c r="K344" t="s">
        <v>1553</v>
      </c>
      <c r="L344" t="s">
        <v>518</v>
      </c>
      <c r="M344">
        <v>441.03</v>
      </c>
      <c r="N344">
        <v>2</v>
      </c>
      <c r="O344" t="s">
        <v>63</v>
      </c>
      <c r="P344">
        <v>4</v>
      </c>
      <c r="Q344">
        <v>55</v>
      </c>
      <c r="R344" s="8">
        <v>45429</v>
      </c>
      <c r="S344" t="s">
        <v>1554</v>
      </c>
      <c r="T344" s="33">
        <f t="shared" si="40"/>
        <v>6</v>
      </c>
      <c r="U344" s="33">
        <f t="shared" si="41"/>
        <v>882.06</v>
      </c>
      <c r="V344" s="33">
        <f t="shared" si="42"/>
        <v>937.06</v>
      </c>
      <c r="W344" s="36">
        <f t="shared" si="47"/>
        <v>0</v>
      </c>
      <c r="X344" s="33">
        <f t="shared" si="43"/>
        <v>937.06</v>
      </c>
      <c r="Y344" s="33" t="str">
        <f t="shared" si="44"/>
        <v>Lauren Lane</v>
      </c>
      <c r="Z344" s="33" t="str">
        <f t="shared" si="45"/>
        <v>Late</v>
      </c>
      <c r="AA344" s="33" t="str">
        <f t="shared" si="46"/>
        <v>gmail.com</v>
      </c>
    </row>
    <row r="345" spans="1:27" ht="14.25" customHeight="1" x14ac:dyDescent="0.3">
      <c r="A345" t="s">
        <v>750</v>
      </c>
      <c r="B345" t="s">
        <v>751</v>
      </c>
      <c r="C345" t="s">
        <v>752</v>
      </c>
      <c r="D345">
        <v>43</v>
      </c>
      <c r="E345" t="s">
        <v>52</v>
      </c>
      <c r="F345" t="s">
        <v>159</v>
      </c>
      <c r="G345" t="s">
        <v>753</v>
      </c>
      <c r="H345" t="s">
        <v>754</v>
      </c>
      <c r="I345" t="s">
        <v>1555</v>
      </c>
      <c r="J345" s="8">
        <v>44966</v>
      </c>
      <c r="K345" t="s">
        <v>1556</v>
      </c>
      <c r="L345" t="s">
        <v>481</v>
      </c>
      <c r="M345">
        <v>87.09</v>
      </c>
      <c r="N345">
        <v>5</v>
      </c>
      <c r="O345" t="s">
        <v>63</v>
      </c>
      <c r="P345">
        <v>7</v>
      </c>
      <c r="Q345">
        <v>56</v>
      </c>
      <c r="R345" s="8">
        <v>44971</v>
      </c>
      <c r="S345" t="s">
        <v>1557</v>
      </c>
      <c r="T345" s="34">
        <f t="shared" si="40"/>
        <v>5</v>
      </c>
      <c r="U345" s="34">
        <f t="shared" si="41"/>
        <v>435.45000000000005</v>
      </c>
      <c r="V345" s="34">
        <f t="shared" si="42"/>
        <v>491.45000000000005</v>
      </c>
      <c r="W345" s="36">
        <f t="shared" si="47"/>
        <v>0</v>
      </c>
      <c r="X345" s="34">
        <f t="shared" si="43"/>
        <v>491.45000000000005</v>
      </c>
      <c r="Y345" s="34" t="str">
        <f t="shared" si="44"/>
        <v>Barbara Fuller</v>
      </c>
      <c r="Z345" s="34" t="str">
        <f t="shared" si="45"/>
        <v>BeforeTime</v>
      </c>
      <c r="AA345" s="34" t="str">
        <f t="shared" si="46"/>
        <v>rediffmail.com</v>
      </c>
    </row>
    <row r="346" spans="1:27" ht="14.25" customHeight="1" x14ac:dyDescent="0.3">
      <c r="A346" t="s">
        <v>236</v>
      </c>
      <c r="B346" t="s">
        <v>66</v>
      </c>
      <c r="C346" t="s">
        <v>237</v>
      </c>
      <c r="D346">
        <v>52</v>
      </c>
      <c r="E346" t="s">
        <v>52</v>
      </c>
      <c r="F346" t="s">
        <v>42</v>
      </c>
      <c r="G346" t="s">
        <v>238</v>
      </c>
      <c r="H346" t="s">
        <v>239</v>
      </c>
      <c r="I346" t="s">
        <v>1558</v>
      </c>
      <c r="J346" s="8">
        <v>45303</v>
      </c>
      <c r="K346" t="s">
        <v>1559</v>
      </c>
      <c r="L346" t="s">
        <v>182</v>
      </c>
      <c r="M346">
        <v>104.18</v>
      </c>
      <c r="N346">
        <v>4</v>
      </c>
      <c r="O346" t="s">
        <v>63</v>
      </c>
      <c r="P346">
        <v>3</v>
      </c>
      <c r="Q346">
        <v>40</v>
      </c>
      <c r="R346" s="8">
        <v>45308</v>
      </c>
      <c r="S346" t="s">
        <v>1560</v>
      </c>
      <c r="T346" s="33">
        <f t="shared" si="40"/>
        <v>5</v>
      </c>
      <c r="U346" s="33">
        <f t="shared" si="41"/>
        <v>416.72</v>
      </c>
      <c r="V346" s="33">
        <f t="shared" si="42"/>
        <v>456.72</v>
      </c>
      <c r="W346" s="36">
        <f t="shared" si="47"/>
        <v>0</v>
      </c>
      <c r="X346" s="33">
        <f t="shared" si="43"/>
        <v>456.72</v>
      </c>
      <c r="Y346" s="33" t="str">
        <f t="shared" si="44"/>
        <v>Angela Evans</v>
      </c>
      <c r="Z346" s="33" t="str">
        <f t="shared" si="45"/>
        <v>Late</v>
      </c>
      <c r="AA346" s="33" t="str">
        <f t="shared" si="46"/>
        <v>outlook.com</v>
      </c>
    </row>
    <row r="347" spans="1:27" ht="14.25" customHeight="1" x14ac:dyDescent="0.3">
      <c r="A347" t="s">
        <v>520</v>
      </c>
      <c r="B347" t="s">
        <v>521</v>
      </c>
      <c r="C347" t="s">
        <v>522</v>
      </c>
      <c r="D347">
        <v>42</v>
      </c>
      <c r="E347" t="s">
        <v>52</v>
      </c>
      <c r="F347" t="s">
        <v>76</v>
      </c>
      <c r="G347" t="s">
        <v>523</v>
      </c>
      <c r="H347" t="s">
        <v>524</v>
      </c>
      <c r="I347" t="s">
        <v>1561</v>
      </c>
      <c r="J347" s="8">
        <v>45666</v>
      </c>
      <c r="K347" t="s">
        <v>1562</v>
      </c>
      <c r="L347" t="s">
        <v>984</v>
      </c>
      <c r="M347">
        <v>33.49</v>
      </c>
      <c r="N347">
        <v>1</v>
      </c>
      <c r="O347" t="s">
        <v>85</v>
      </c>
      <c r="P347">
        <v>4</v>
      </c>
      <c r="Q347">
        <v>61</v>
      </c>
      <c r="R347" s="8">
        <v>45668</v>
      </c>
      <c r="S347" t="s">
        <v>1453</v>
      </c>
      <c r="T347" s="34">
        <f t="shared" si="40"/>
        <v>2</v>
      </c>
      <c r="U347" s="34">
        <f t="shared" si="41"/>
        <v>33.49</v>
      </c>
      <c r="V347" s="34">
        <f t="shared" si="42"/>
        <v>94.490000000000009</v>
      </c>
      <c r="W347" s="36">
        <f t="shared" si="47"/>
        <v>0.2</v>
      </c>
      <c r="X347" s="34">
        <f t="shared" si="43"/>
        <v>75.592000000000013</v>
      </c>
      <c r="Y347" s="34" t="str">
        <f t="shared" si="44"/>
        <v>Katherine Weber</v>
      </c>
      <c r="Z347" s="34" t="str">
        <f t="shared" si="45"/>
        <v>BeforeTime</v>
      </c>
      <c r="AA347" s="34" t="str">
        <f t="shared" si="46"/>
        <v>outlook.com</v>
      </c>
    </row>
    <row r="348" spans="1:27" ht="14.25" customHeight="1" x14ac:dyDescent="0.3">
      <c r="A348" t="s">
        <v>1457</v>
      </c>
      <c r="B348" t="s">
        <v>273</v>
      </c>
      <c r="C348" t="s">
        <v>1458</v>
      </c>
      <c r="D348">
        <v>30</v>
      </c>
      <c r="E348" t="s">
        <v>29</v>
      </c>
      <c r="F348" t="s">
        <v>220</v>
      </c>
      <c r="G348" t="s">
        <v>1459</v>
      </c>
      <c r="H348" t="s">
        <v>1460</v>
      </c>
      <c r="I348" t="s">
        <v>1563</v>
      </c>
      <c r="J348" s="8">
        <v>45386</v>
      </c>
      <c r="K348" t="s">
        <v>1564</v>
      </c>
      <c r="L348" t="s">
        <v>653</v>
      </c>
      <c r="M348">
        <v>433.62</v>
      </c>
      <c r="N348">
        <v>4</v>
      </c>
      <c r="O348" t="s">
        <v>63</v>
      </c>
      <c r="P348">
        <v>1</v>
      </c>
      <c r="Q348">
        <v>56</v>
      </c>
      <c r="R348" s="8">
        <v>45392</v>
      </c>
      <c r="S348" t="s">
        <v>1565</v>
      </c>
      <c r="T348" s="33">
        <f t="shared" si="40"/>
        <v>6</v>
      </c>
      <c r="U348" s="33">
        <f t="shared" si="41"/>
        <v>1734.48</v>
      </c>
      <c r="V348" s="33">
        <f t="shared" si="42"/>
        <v>1790.48</v>
      </c>
      <c r="W348" s="36">
        <f t="shared" si="47"/>
        <v>0</v>
      </c>
      <c r="X348" s="33">
        <f t="shared" si="43"/>
        <v>1790.48</v>
      </c>
      <c r="Y348" s="33" t="str">
        <f t="shared" si="44"/>
        <v>Lauren Lane</v>
      </c>
      <c r="Z348" s="33" t="str">
        <f t="shared" si="45"/>
        <v>Late</v>
      </c>
      <c r="AA348" s="33" t="str">
        <f t="shared" si="46"/>
        <v>gmail.com</v>
      </c>
    </row>
    <row r="349" spans="1:27" ht="14.25" customHeight="1" x14ac:dyDescent="0.3">
      <c r="A349" t="s">
        <v>1191</v>
      </c>
      <c r="B349" t="s">
        <v>40</v>
      </c>
      <c r="C349" t="s">
        <v>1192</v>
      </c>
      <c r="D349">
        <v>34</v>
      </c>
      <c r="E349" t="s">
        <v>52</v>
      </c>
      <c r="F349" t="s">
        <v>220</v>
      </c>
      <c r="G349" t="s">
        <v>1193</v>
      </c>
      <c r="H349" t="s">
        <v>1194</v>
      </c>
      <c r="I349" t="s">
        <v>1566</v>
      </c>
      <c r="J349" s="8">
        <v>45085</v>
      </c>
      <c r="K349" t="s">
        <v>1567</v>
      </c>
      <c r="L349" t="s">
        <v>199</v>
      </c>
      <c r="M349">
        <v>20.7</v>
      </c>
      <c r="N349">
        <v>1</v>
      </c>
      <c r="O349" t="s">
        <v>63</v>
      </c>
      <c r="P349">
        <v>5</v>
      </c>
      <c r="Q349">
        <v>51</v>
      </c>
      <c r="R349" s="8">
        <v>45086</v>
      </c>
      <c r="S349" t="s">
        <v>1568</v>
      </c>
      <c r="T349" s="34">
        <f t="shared" si="40"/>
        <v>1</v>
      </c>
      <c r="U349" s="34">
        <f t="shared" si="41"/>
        <v>20.7</v>
      </c>
      <c r="V349" s="34">
        <f t="shared" si="42"/>
        <v>71.7</v>
      </c>
      <c r="W349" s="36">
        <f t="shared" si="47"/>
        <v>0</v>
      </c>
      <c r="X349" s="34">
        <f t="shared" si="43"/>
        <v>71.7</v>
      </c>
      <c r="Y349" s="34" t="str">
        <f t="shared" si="44"/>
        <v>Thomas Owens</v>
      </c>
      <c r="Z349" s="34" t="str">
        <f t="shared" si="45"/>
        <v>BeforeTime</v>
      </c>
      <c r="AA349" s="34" t="str">
        <f t="shared" si="46"/>
        <v>outlook.com</v>
      </c>
    </row>
    <row r="350" spans="1:27" ht="14.25" customHeight="1" x14ac:dyDescent="0.3">
      <c r="A350" t="s">
        <v>443</v>
      </c>
      <c r="B350" t="s">
        <v>99</v>
      </c>
      <c r="C350" t="s">
        <v>444</v>
      </c>
      <c r="D350">
        <v>36</v>
      </c>
      <c r="E350" t="s">
        <v>41</v>
      </c>
      <c r="F350" t="s">
        <v>30</v>
      </c>
      <c r="G350" t="s">
        <v>445</v>
      </c>
      <c r="H350" t="s">
        <v>446</v>
      </c>
      <c r="I350" t="s">
        <v>1569</v>
      </c>
      <c r="J350" s="8">
        <v>45028</v>
      </c>
      <c r="K350" t="s">
        <v>1570</v>
      </c>
      <c r="L350" t="s">
        <v>518</v>
      </c>
      <c r="M350">
        <v>441.03</v>
      </c>
      <c r="N350">
        <v>2</v>
      </c>
      <c r="O350" t="s">
        <v>96</v>
      </c>
      <c r="P350">
        <v>4</v>
      </c>
      <c r="Q350">
        <v>60</v>
      </c>
      <c r="R350" s="8">
        <v>45033</v>
      </c>
      <c r="S350" t="s">
        <v>1571</v>
      </c>
      <c r="T350" s="33">
        <f t="shared" si="40"/>
        <v>5</v>
      </c>
      <c r="U350" s="33">
        <f t="shared" si="41"/>
        <v>882.06</v>
      </c>
      <c r="V350" s="33">
        <f t="shared" si="42"/>
        <v>942.06</v>
      </c>
      <c r="W350" s="36">
        <f t="shared" si="47"/>
        <v>0.1</v>
      </c>
      <c r="X350" s="33">
        <f t="shared" si="43"/>
        <v>847.85399999999993</v>
      </c>
      <c r="Y350" s="33" t="str">
        <f t="shared" si="44"/>
        <v>Marcus Rogers</v>
      </c>
      <c r="Z350" s="33" t="str">
        <f t="shared" si="45"/>
        <v>Late</v>
      </c>
      <c r="AA350" s="33" t="str">
        <f t="shared" si="46"/>
        <v>outlook.com</v>
      </c>
    </row>
    <row r="351" spans="1:27" ht="14.25" customHeight="1" x14ac:dyDescent="0.3">
      <c r="A351" t="s">
        <v>1210</v>
      </c>
      <c r="B351" t="s">
        <v>1211</v>
      </c>
      <c r="C351" t="s">
        <v>1212</v>
      </c>
      <c r="D351">
        <v>50</v>
      </c>
      <c r="E351" t="s">
        <v>52</v>
      </c>
      <c r="F351" t="s">
        <v>168</v>
      </c>
      <c r="G351" t="s">
        <v>1213</v>
      </c>
      <c r="H351" t="s">
        <v>1214</v>
      </c>
      <c r="I351" t="s">
        <v>1572</v>
      </c>
      <c r="J351" s="8">
        <v>45183</v>
      </c>
      <c r="K351" t="s">
        <v>1573</v>
      </c>
      <c r="L351" t="s">
        <v>653</v>
      </c>
      <c r="M351">
        <v>433.62</v>
      </c>
      <c r="N351">
        <v>2</v>
      </c>
      <c r="O351" t="s">
        <v>63</v>
      </c>
      <c r="P351">
        <v>1</v>
      </c>
      <c r="Q351">
        <v>46</v>
      </c>
      <c r="R351" s="8">
        <v>45186</v>
      </c>
      <c r="S351" t="s">
        <v>1574</v>
      </c>
      <c r="T351" s="34">
        <f t="shared" si="40"/>
        <v>3</v>
      </c>
      <c r="U351" s="34">
        <f t="shared" si="41"/>
        <v>867.24</v>
      </c>
      <c r="V351" s="34">
        <f t="shared" si="42"/>
        <v>913.24</v>
      </c>
      <c r="W351" s="36">
        <f t="shared" si="47"/>
        <v>0</v>
      </c>
      <c r="X351" s="34">
        <f t="shared" si="43"/>
        <v>913.24</v>
      </c>
      <c r="Y351" s="34" t="str">
        <f t="shared" si="44"/>
        <v>Brendan Kelly</v>
      </c>
      <c r="Z351" s="34" t="str">
        <f t="shared" si="45"/>
        <v>Late</v>
      </c>
      <c r="AA351" s="34" t="str">
        <f t="shared" si="46"/>
        <v>rediffmail.com</v>
      </c>
    </row>
    <row r="352" spans="1:27" ht="14.25" customHeight="1" x14ac:dyDescent="0.3">
      <c r="A352" t="s">
        <v>209</v>
      </c>
      <c r="B352" t="s">
        <v>210</v>
      </c>
      <c r="C352" t="s">
        <v>211</v>
      </c>
      <c r="D352">
        <v>39</v>
      </c>
      <c r="E352" t="s">
        <v>41</v>
      </c>
      <c r="F352" t="s">
        <v>159</v>
      </c>
      <c r="G352" t="s">
        <v>212</v>
      </c>
      <c r="H352" t="s">
        <v>213</v>
      </c>
      <c r="I352" t="s">
        <v>1575</v>
      </c>
      <c r="J352" s="8">
        <v>45387</v>
      </c>
      <c r="K352" t="s">
        <v>1576</v>
      </c>
      <c r="L352" t="s">
        <v>686</v>
      </c>
      <c r="M352">
        <v>424.82</v>
      </c>
      <c r="N352">
        <v>5</v>
      </c>
      <c r="O352" t="s">
        <v>96</v>
      </c>
      <c r="P352">
        <v>7</v>
      </c>
      <c r="Q352">
        <v>37</v>
      </c>
      <c r="R352" s="8">
        <v>45393</v>
      </c>
      <c r="S352" t="s">
        <v>1577</v>
      </c>
      <c r="T352" s="33">
        <f t="shared" si="40"/>
        <v>6</v>
      </c>
      <c r="U352" s="33">
        <f t="shared" si="41"/>
        <v>2124.1</v>
      </c>
      <c r="V352" s="33">
        <f t="shared" si="42"/>
        <v>2161.1</v>
      </c>
      <c r="W352" s="36">
        <f t="shared" si="47"/>
        <v>0.1</v>
      </c>
      <c r="X352" s="33">
        <f t="shared" si="43"/>
        <v>1944.99</v>
      </c>
      <c r="Y352" s="33" t="str">
        <f t="shared" si="44"/>
        <v>Christian Clayton</v>
      </c>
      <c r="Z352" s="33" t="str">
        <f t="shared" si="45"/>
        <v>BeforeTime</v>
      </c>
      <c r="AA352" s="33" t="str">
        <f t="shared" si="46"/>
        <v>yahoo.com</v>
      </c>
    </row>
    <row r="353" spans="1:27" ht="14.25" customHeight="1" x14ac:dyDescent="0.3">
      <c r="A353" t="s">
        <v>671</v>
      </c>
      <c r="B353" t="s">
        <v>672</v>
      </c>
      <c r="C353" t="s">
        <v>673</v>
      </c>
      <c r="D353">
        <v>38</v>
      </c>
      <c r="E353" t="s">
        <v>41</v>
      </c>
      <c r="F353" t="s">
        <v>220</v>
      </c>
      <c r="G353" t="s">
        <v>674</v>
      </c>
      <c r="H353" t="s">
        <v>675</v>
      </c>
      <c r="I353" t="s">
        <v>1578</v>
      </c>
      <c r="J353" s="8">
        <v>45496</v>
      </c>
      <c r="K353" t="s">
        <v>1579</v>
      </c>
      <c r="L353" t="s">
        <v>653</v>
      </c>
      <c r="M353">
        <v>433.62</v>
      </c>
      <c r="N353">
        <v>3</v>
      </c>
      <c r="O353" t="s">
        <v>96</v>
      </c>
      <c r="P353">
        <v>2</v>
      </c>
      <c r="Q353">
        <v>39</v>
      </c>
      <c r="R353" s="8">
        <v>45499</v>
      </c>
      <c r="S353" t="s">
        <v>1580</v>
      </c>
      <c r="T353" s="34">
        <f t="shared" si="40"/>
        <v>3</v>
      </c>
      <c r="U353" s="34">
        <f t="shared" si="41"/>
        <v>1300.8600000000001</v>
      </c>
      <c r="V353" s="34">
        <f t="shared" si="42"/>
        <v>1339.8600000000001</v>
      </c>
      <c r="W353" s="36">
        <f t="shared" si="47"/>
        <v>0.1</v>
      </c>
      <c r="X353" s="34">
        <f t="shared" si="43"/>
        <v>1205.8740000000003</v>
      </c>
      <c r="Y353" s="34" t="str">
        <f t="shared" si="44"/>
        <v>Christy Chang</v>
      </c>
      <c r="Z353" s="34" t="str">
        <f t="shared" si="45"/>
        <v>Late</v>
      </c>
      <c r="AA353" s="34" t="str">
        <f t="shared" si="46"/>
        <v>outlook.com</v>
      </c>
    </row>
    <row r="354" spans="1:27" ht="14.25" customHeight="1" x14ac:dyDescent="0.3">
      <c r="A354" t="s">
        <v>847</v>
      </c>
      <c r="B354" t="s">
        <v>848</v>
      </c>
      <c r="C354" t="s">
        <v>387</v>
      </c>
      <c r="D354">
        <v>37</v>
      </c>
      <c r="E354" t="s">
        <v>52</v>
      </c>
      <c r="F354" t="s">
        <v>220</v>
      </c>
      <c r="G354" t="s">
        <v>849</v>
      </c>
      <c r="H354" t="s">
        <v>850</v>
      </c>
      <c r="I354" t="s">
        <v>1581</v>
      </c>
      <c r="J354" s="8">
        <v>45187</v>
      </c>
      <c r="K354" t="s">
        <v>1582</v>
      </c>
      <c r="L354" t="s">
        <v>657</v>
      </c>
      <c r="M354">
        <v>235.63</v>
      </c>
      <c r="N354">
        <v>1</v>
      </c>
      <c r="O354" t="s">
        <v>85</v>
      </c>
      <c r="P354">
        <v>5</v>
      </c>
      <c r="Q354">
        <v>59</v>
      </c>
      <c r="R354" s="8">
        <v>45192</v>
      </c>
      <c r="S354" t="s">
        <v>1583</v>
      </c>
      <c r="T354" s="33">
        <f t="shared" si="40"/>
        <v>5</v>
      </c>
      <c r="U354" s="33">
        <f t="shared" si="41"/>
        <v>235.63</v>
      </c>
      <c r="V354" s="33">
        <f t="shared" si="42"/>
        <v>294.63</v>
      </c>
      <c r="W354" s="36">
        <f t="shared" si="47"/>
        <v>0.2</v>
      </c>
      <c r="X354" s="33">
        <f t="shared" si="43"/>
        <v>235.70400000000001</v>
      </c>
      <c r="Y354" s="33" t="str">
        <f t="shared" si="44"/>
        <v>Susan Thompson</v>
      </c>
      <c r="Z354" s="33" t="str">
        <f t="shared" si="45"/>
        <v>Intime</v>
      </c>
      <c r="AA354" s="33" t="str">
        <f t="shared" si="46"/>
        <v>outlook.com</v>
      </c>
    </row>
    <row r="355" spans="1:27" ht="14.25" customHeight="1" x14ac:dyDescent="0.3">
      <c r="A355" t="s">
        <v>1342</v>
      </c>
      <c r="B355" t="s">
        <v>508</v>
      </c>
      <c r="C355" t="s">
        <v>1343</v>
      </c>
      <c r="D355">
        <v>40</v>
      </c>
      <c r="E355" t="s">
        <v>52</v>
      </c>
      <c r="F355" t="s">
        <v>220</v>
      </c>
      <c r="G355" t="s">
        <v>1344</v>
      </c>
      <c r="H355" t="s">
        <v>1345</v>
      </c>
      <c r="I355" t="s">
        <v>1584</v>
      </c>
      <c r="J355" s="8">
        <v>45190</v>
      </c>
      <c r="K355" t="s">
        <v>1585</v>
      </c>
      <c r="L355" t="s">
        <v>495</v>
      </c>
      <c r="M355">
        <v>421.7</v>
      </c>
      <c r="N355">
        <v>5</v>
      </c>
      <c r="O355" t="s">
        <v>58</v>
      </c>
      <c r="P355">
        <v>6</v>
      </c>
      <c r="Q355">
        <v>58</v>
      </c>
      <c r="R355" s="8">
        <v>45197</v>
      </c>
      <c r="S355" t="s">
        <v>1586</v>
      </c>
      <c r="T355" s="34">
        <f t="shared" si="40"/>
        <v>7</v>
      </c>
      <c r="U355" s="34">
        <f t="shared" si="41"/>
        <v>2108.5</v>
      </c>
      <c r="V355" s="34">
        <f t="shared" si="42"/>
        <v>2166.5</v>
      </c>
      <c r="W355" s="36">
        <f t="shared" si="47"/>
        <v>0.15</v>
      </c>
      <c r="X355" s="34">
        <f t="shared" si="43"/>
        <v>1841.5249999999999</v>
      </c>
      <c r="Y355" s="34" t="str">
        <f t="shared" si="44"/>
        <v>Sarah Benson</v>
      </c>
      <c r="Z355" s="34" t="str">
        <f t="shared" si="45"/>
        <v>Late</v>
      </c>
      <c r="AA355" s="34" t="str">
        <f t="shared" si="46"/>
        <v>outlook.com</v>
      </c>
    </row>
    <row r="356" spans="1:27" ht="14.25" customHeight="1" x14ac:dyDescent="0.3">
      <c r="A356" t="s">
        <v>500</v>
      </c>
      <c r="B356" t="s">
        <v>501</v>
      </c>
      <c r="C356" t="s">
        <v>387</v>
      </c>
      <c r="D356">
        <v>57</v>
      </c>
      <c r="E356" t="s">
        <v>41</v>
      </c>
      <c r="F356" t="s">
        <v>220</v>
      </c>
      <c r="G356" t="s">
        <v>502</v>
      </c>
      <c r="H356" t="s">
        <v>503</v>
      </c>
      <c r="I356" t="s">
        <v>1587</v>
      </c>
      <c r="J356" s="8">
        <v>45479</v>
      </c>
      <c r="K356" t="s">
        <v>1588</v>
      </c>
      <c r="L356" t="s">
        <v>340</v>
      </c>
      <c r="M356">
        <v>77.84</v>
      </c>
      <c r="N356">
        <v>4</v>
      </c>
      <c r="O356" t="s">
        <v>85</v>
      </c>
      <c r="P356">
        <v>2</v>
      </c>
      <c r="Q356">
        <v>59</v>
      </c>
      <c r="R356" s="8">
        <v>45485</v>
      </c>
      <c r="S356" t="s">
        <v>1589</v>
      </c>
      <c r="T356" s="33">
        <f t="shared" si="40"/>
        <v>6</v>
      </c>
      <c r="U356" s="33">
        <f t="shared" si="41"/>
        <v>311.36</v>
      </c>
      <c r="V356" s="33">
        <f t="shared" si="42"/>
        <v>370.36</v>
      </c>
      <c r="W356" s="36">
        <f t="shared" si="47"/>
        <v>0.2</v>
      </c>
      <c r="X356" s="33">
        <f t="shared" si="43"/>
        <v>296.28800000000001</v>
      </c>
      <c r="Y356" s="33" t="str">
        <f t="shared" si="44"/>
        <v>Sharon Thompson</v>
      </c>
      <c r="Z356" s="33" t="str">
        <f t="shared" si="45"/>
        <v>Late</v>
      </c>
      <c r="AA356" s="33" t="str">
        <f t="shared" si="46"/>
        <v>yahoo.com</v>
      </c>
    </row>
    <row r="357" spans="1:27" ht="14.25" customHeight="1" x14ac:dyDescent="0.3">
      <c r="A357" t="s">
        <v>1238</v>
      </c>
      <c r="B357" t="s">
        <v>1239</v>
      </c>
      <c r="C357" t="s">
        <v>1240</v>
      </c>
      <c r="D357">
        <v>55</v>
      </c>
      <c r="E357" t="s">
        <v>41</v>
      </c>
      <c r="F357" t="s">
        <v>159</v>
      </c>
      <c r="G357" t="s">
        <v>1241</v>
      </c>
      <c r="H357" t="s">
        <v>1242</v>
      </c>
      <c r="I357" t="s">
        <v>1590</v>
      </c>
      <c r="J357" s="8">
        <v>44982</v>
      </c>
      <c r="K357" t="s">
        <v>1591</v>
      </c>
      <c r="L357" t="s">
        <v>481</v>
      </c>
      <c r="M357">
        <v>87.09</v>
      </c>
      <c r="N357">
        <v>2</v>
      </c>
      <c r="O357" t="s">
        <v>58</v>
      </c>
      <c r="P357">
        <v>3</v>
      </c>
      <c r="Q357">
        <v>62</v>
      </c>
      <c r="R357" s="8">
        <v>44987</v>
      </c>
      <c r="S357" t="s">
        <v>1592</v>
      </c>
      <c r="T357" s="34">
        <f t="shared" si="40"/>
        <v>5</v>
      </c>
      <c r="U357" s="34">
        <f t="shared" si="41"/>
        <v>174.18</v>
      </c>
      <c r="V357" s="34">
        <f t="shared" si="42"/>
        <v>236.18</v>
      </c>
      <c r="W357" s="36">
        <f t="shared" si="47"/>
        <v>0.15</v>
      </c>
      <c r="X357" s="34">
        <f t="shared" si="43"/>
        <v>200.75300000000001</v>
      </c>
      <c r="Y357" s="34" t="str">
        <f t="shared" si="44"/>
        <v>Hannah Gutierrez</v>
      </c>
      <c r="Z357" s="34" t="str">
        <f t="shared" si="45"/>
        <v>Late</v>
      </c>
      <c r="AA357" s="34" t="str">
        <f t="shared" si="46"/>
        <v>yahoo.com</v>
      </c>
    </row>
    <row r="358" spans="1:27" ht="14.25" customHeight="1" x14ac:dyDescent="0.3">
      <c r="A358" t="s">
        <v>1318</v>
      </c>
      <c r="B358" t="s">
        <v>1319</v>
      </c>
      <c r="C358" t="s">
        <v>1320</v>
      </c>
      <c r="D358">
        <v>43</v>
      </c>
      <c r="E358" t="s">
        <v>29</v>
      </c>
      <c r="F358" t="s">
        <v>140</v>
      </c>
      <c r="G358" t="s">
        <v>1321</v>
      </c>
      <c r="H358" t="s">
        <v>1322</v>
      </c>
      <c r="I358" t="s">
        <v>1593</v>
      </c>
      <c r="J358" s="8">
        <v>45397</v>
      </c>
      <c r="K358" t="s">
        <v>1594</v>
      </c>
      <c r="L358" t="s">
        <v>182</v>
      </c>
      <c r="M358">
        <v>104.18</v>
      </c>
      <c r="N358">
        <v>3</v>
      </c>
      <c r="O358" t="s">
        <v>96</v>
      </c>
      <c r="P358">
        <v>6</v>
      </c>
      <c r="Q358">
        <v>60</v>
      </c>
      <c r="R358" s="8">
        <v>45398</v>
      </c>
      <c r="S358" t="s">
        <v>1595</v>
      </c>
      <c r="T358" s="33">
        <f t="shared" si="40"/>
        <v>1</v>
      </c>
      <c r="U358" s="33">
        <f t="shared" si="41"/>
        <v>312.54000000000002</v>
      </c>
      <c r="V358" s="33">
        <f t="shared" si="42"/>
        <v>372.54</v>
      </c>
      <c r="W358" s="36">
        <f t="shared" si="47"/>
        <v>0.1</v>
      </c>
      <c r="X358" s="33">
        <f t="shared" si="43"/>
        <v>335.286</v>
      </c>
      <c r="Y358" s="33" t="str">
        <f t="shared" si="44"/>
        <v>Jared Horn</v>
      </c>
      <c r="Z358" s="33" t="str">
        <f t="shared" si="45"/>
        <v>BeforeTime</v>
      </c>
      <c r="AA358" s="33" t="str">
        <f t="shared" si="46"/>
        <v>outlook.com</v>
      </c>
    </row>
    <row r="359" spans="1:27" ht="14.25" customHeight="1" x14ac:dyDescent="0.3">
      <c r="A359" t="s">
        <v>823</v>
      </c>
      <c r="B359" t="s">
        <v>824</v>
      </c>
      <c r="C359" t="s">
        <v>825</v>
      </c>
      <c r="D359">
        <v>42</v>
      </c>
      <c r="E359" t="s">
        <v>29</v>
      </c>
      <c r="F359" t="s">
        <v>76</v>
      </c>
      <c r="G359" t="s">
        <v>826</v>
      </c>
      <c r="H359" t="s">
        <v>827</v>
      </c>
      <c r="I359" t="s">
        <v>1596</v>
      </c>
      <c r="J359" s="8">
        <v>45474</v>
      </c>
      <c r="K359" t="s">
        <v>1597</v>
      </c>
      <c r="L359" t="s">
        <v>941</v>
      </c>
      <c r="M359">
        <v>107.47</v>
      </c>
      <c r="N359">
        <v>3</v>
      </c>
      <c r="O359" t="s">
        <v>63</v>
      </c>
      <c r="P359">
        <v>4</v>
      </c>
      <c r="Q359">
        <v>63</v>
      </c>
      <c r="R359" s="8">
        <v>45481</v>
      </c>
      <c r="S359" t="s">
        <v>1598</v>
      </c>
      <c r="T359" s="34">
        <f t="shared" si="40"/>
        <v>7</v>
      </c>
      <c r="U359" s="34">
        <f t="shared" si="41"/>
        <v>322.40999999999997</v>
      </c>
      <c r="V359" s="34">
        <f t="shared" si="42"/>
        <v>385.40999999999997</v>
      </c>
      <c r="W359" s="36">
        <f t="shared" si="47"/>
        <v>0</v>
      </c>
      <c r="X359" s="34">
        <f t="shared" si="43"/>
        <v>385.40999999999997</v>
      </c>
      <c r="Y359" s="34" t="str">
        <f t="shared" si="44"/>
        <v>Edward Black</v>
      </c>
      <c r="Z359" s="34" t="str">
        <f t="shared" si="45"/>
        <v>Late</v>
      </c>
      <c r="AA359" s="34" t="str">
        <f t="shared" si="46"/>
        <v>gmail.com</v>
      </c>
    </row>
    <row r="360" spans="1:27" ht="14.25" customHeight="1" x14ac:dyDescent="0.3">
      <c r="A360" t="s">
        <v>1079</v>
      </c>
      <c r="B360" t="s">
        <v>218</v>
      </c>
      <c r="C360" t="s">
        <v>1080</v>
      </c>
      <c r="D360">
        <v>55</v>
      </c>
      <c r="E360" t="s">
        <v>41</v>
      </c>
      <c r="F360" t="s">
        <v>159</v>
      </c>
      <c r="G360" t="s">
        <v>1081</v>
      </c>
      <c r="H360" t="s">
        <v>1082</v>
      </c>
      <c r="I360" t="s">
        <v>1599</v>
      </c>
      <c r="J360" s="8">
        <v>45045</v>
      </c>
      <c r="K360" t="s">
        <v>1600</v>
      </c>
      <c r="L360" t="s">
        <v>114</v>
      </c>
      <c r="M360">
        <v>48.45</v>
      </c>
      <c r="N360">
        <v>3</v>
      </c>
      <c r="O360" t="s">
        <v>63</v>
      </c>
      <c r="P360">
        <v>6</v>
      </c>
      <c r="Q360">
        <v>58</v>
      </c>
      <c r="R360" s="8">
        <v>45046</v>
      </c>
      <c r="S360" t="s">
        <v>1601</v>
      </c>
      <c r="T360" s="33">
        <f t="shared" si="40"/>
        <v>1</v>
      </c>
      <c r="U360" s="33">
        <f t="shared" si="41"/>
        <v>145.35000000000002</v>
      </c>
      <c r="V360" s="33">
        <f t="shared" si="42"/>
        <v>203.35000000000002</v>
      </c>
      <c r="W360" s="36">
        <f t="shared" si="47"/>
        <v>0</v>
      </c>
      <c r="X360" s="33">
        <f t="shared" si="43"/>
        <v>203.35000000000002</v>
      </c>
      <c r="Y360" s="33" t="str">
        <f t="shared" si="44"/>
        <v>Mark Summers</v>
      </c>
      <c r="Z360" s="33" t="str">
        <f t="shared" si="45"/>
        <v>BeforeTime</v>
      </c>
      <c r="AA360" s="33" t="str">
        <f t="shared" si="46"/>
        <v>outlook.com</v>
      </c>
    </row>
    <row r="361" spans="1:27" ht="14.25" customHeight="1" x14ac:dyDescent="0.3">
      <c r="A361" t="s">
        <v>435</v>
      </c>
      <c r="B361" t="s">
        <v>436</v>
      </c>
      <c r="C361" t="s">
        <v>437</v>
      </c>
      <c r="D361">
        <v>28</v>
      </c>
      <c r="E361" t="s">
        <v>52</v>
      </c>
      <c r="F361" t="s">
        <v>76</v>
      </c>
      <c r="G361" t="s">
        <v>438</v>
      </c>
      <c r="H361" t="s">
        <v>439</v>
      </c>
      <c r="I361" t="s">
        <v>1602</v>
      </c>
      <c r="J361" s="8">
        <v>45600</v>
      </c>
      <c r="K361" t="s">
        <v>1603</v>
      </c>
      <c r="L361" t="s">
        <v>126</v>
      </c>
      <c r="M361">
        <v>257.06</v>
      </c>
      <c r="N361">
        <v>4</v>
      </c>
      <c r="O361" t="s">
        <v>96</v>
      </c>
      <c r="P361">
        <v>6</v>
      </c>
      <c r="Q361">
        <v>69</v>
      </c>
      <c r="R361" s="8">
        <v>45603</v>
      </c>
      <c r="S361" t="s">
        <v>1604</v>
      </c>
      <c r="T361" s="34">
        <f t="shared" si="40"/>
        <v>3</v>
      </c>
      <c r="U361" s="34">
        <f t="shared" si="41"/>
        <v>1028.24</v>
      </c>
      <c r="V361" s="34">
        <f t="shared" si="42"/>
        <v>1097.24</v>
      </c>
      <c r="W361" s="36">
        <f t="shared" si="47"/>
        <v>0.1</v>
      </c>
      <c r="X361" s="34">
        <f t="shared" si="43"/>
        <v>987.51600000000008</v>
      </c>
      <c r="Y361" s="34" t="str">
        <f t="shared" si="44"/>
        <v>Mary Knight</v>
      </c>
      <c r="Z361" s="34" t="str">
        <f t="shared" si="45"/>
        <v>BeforeTime</v>
      </c>
      <c r="AA361" s="34" t="str">
        <f t="shared" si="46"/>
        <v>yahoo.com</v>
      </c>
    </row>
    <row r="362" spans="1:27" ht="14.25" customHeight="1" x14ac:dyDescent="0.3">
      <c r="A362" t="s">
        <v>546</v>
      </c>
      <c r="B362" t="s">
        <v>547</v>
      </c>
      <c r="C362" t="s">
        <v>548</v>
      </c>
      <c r="D362">
        <v>33</v>
      </c>
      <c r="E362" t="s">
        <v>52</v>
      </c>
      <c r="F362" t="s">
        <v>168</v>
      </c>
      <c r="G362" t="s">
        <v>549</v>
      </c>
      <c r="H362" t="s">
        <v>550</v>
      </c>
      <c r="I362" t="s">
        <v>1605</v>
      </c>
      <c r="J362" s="8">
        <v>45553</v>
      </c>
      <c r="K362" t="s">
        <v>1606</v>
      </c>
      <c r="L362" t="s">
        <v>590</v>
      </c>
      <c r="M362">
        <v>403.03</v>
      </c>
      <c r="N362">
        <v>4</v>
      </c>
      <c r="O362" t="s">
        <v>96</v>
      </c>
      <c r="P362">
        <v>7</v>
      </c>
      <c r="Q362">
        <v>65</v>
      </c>
      <c r="R362" s="8">
        <v>45556</v>
      </c>
      <c r="S362" t="s">
        <v>1607</v>
      </c>
      <c r="T362" s="33">
        <f t="shared" si="40"/>
        <v>3</v>
      </c>
      <c r="U362" s="33">
        <f t="shared" si="41"/>
        <v>1612.12</v>
      </c>
      <c r="V362" s="33">
        <f t="shared" si="42"/>
        <v>1677.12</v>
      </c>
      <c r="W362" s="36">
        <f t="shared" si="47"/>
        <v>0.1</v>
      </c>
      <c r="X362" s="33">
        <f t="shared" si="43"/>
        <v>1509.4079999999999</v>
      </c>
      <c r="Y362" s="33" t="str">
        <f t="shared" si="44"/>
        <v>Jodi Whitney</v>
      </c>
      <c r="Z362" s="33" t="str">
        <f t="shared" si="45"/>
        <v>BeforeTime</v>
      </c>
      <c r="AA362" s="33" t="str">
        <f t="shared" si="46"/>
        <v>yahoo.com</v>
      </c>
    </row>
    <row r="363" spans="1:27" ht="14.25" customHeight="1" x14ac:dyDescent="0.3">
      <c r="A363" t="s">
        <v>671</v>
      </c>
      <c r="B363" t="s">
        <v>672</v>
      </c>
      <c r="C363" t="s">
        <v>673</v>
      </c>
      <c r="D363">
        <v>38</v>
      </c>
      <c r="E363" t="s">
        <v>41</v>
      </c>
      <c r="F363" t="s">
        <v>220</v>
      </c>
      <c r="G363" t="s">
        <v>674</v>
      </c>
      <c r="H363" t="s">
        <v>675</v>
      </c>
      <c r="I363" t="s">
        <v>1608</v>
      </c>
      <c r="J363" s="8">
        <v>45059</v>
      </c>
      <c r="K363" t="s">
        <v>1609</v>
      </c>
      <c r="L363" t="s">
        <v>114</v>
      </c>
      <c r="M363">
        <v>48.45</v>
      </c>
      <c r="N363">
        <v>1</v>
      </c>
      <c r="O363" t="s">
        <v>96</v>
      </c>
      <c r="P363">
        <v>2</v>
      </c>
      <c r="Q363">
        <v>41</v>
      </c>
      <c r="R363" s="8">
        <v>45062</v>
      </c>
      <c r="S363" t="s">
        <v>1610</v>
      </c>
      <c r="T363" s="34">
        <f t="shared" si="40"/>
        <v>3</v>
      </c>
      <c r="U363" s="34">
        <f t="shared" si="41"/>
        <v>48.45</v>
      </c>
      <c r="V363" s="34">
        <f t="shared" si="42"/>
        <v>89.45</v>
      </c>
      <c r="W363" s="36">
        <f t="shared" si="47"/>
        <v>0.1</v>
      </c>
      <c r="X363" s="34">
        <f t="shared" si="43"/>
        <v>80.50500000000001</v>
      </c>
      <c r="Y363" s="34" t="str">
        <f t="shared" si="44"/>
        <v>Christy Chang</v>
      </c>
      <c r="Z363" s="34" t="str">
        <f t="shared" si="45"/>
        <v>Late</v>
      </c>
      <c r="AA363" s="34" t="str">
        <f t="shared" si="46"/>
        <v>outlook.com</v>
      </c>
    </row>
    <row r="364" spans="1:27" ht="14.25" customHeight="1" x14ac:dyDescent="0.3">
      <c r="A364" t="s">
        <v>679</v>
      </c>
      <c r="B364" t="s">
        <v>680</v>
      </c>
      <c r="C364" t="s">
        <v>681</v>
      </c>
      <c r="D364">
        <v>68</v>
      </c>
      <c r="E364" t="s">
        <v>29</v>
      </c>
      <c r="F364" t="s">
        <v>220</v>
      </c>
      <c r="G364" t="s">
        <v>682</v>
      </c>
      <c r="H364" t="s">
        <v>683</v>
      </c>
      <c r="I364" t="s">
        <v>1611</v>
      </c>
      <c r="J364" s="8">
        <v>45007</v>
      </c>
      <c r="K364" t="s">
        <v>1612</v>
      </c>
      <c r="L364" t="s">
        <v>418</v>
      </c>
      <c r="M364">
        <v>44.5</v>
      </c>
      <c r="N364">
        <v>5</v>
      </c>
      <c r="O364" t="s">
        <v>96</v>
      </c>
      <c r="P364">
        <v>4</v>
      </c>
      <c r="Q364">
        <v>55</v>
      </c>
      <c r="R364" s="8">
        <v>45012</v>
      </c>
      <c r="S364" t="s">
        <v>1613</v>
      </c>
      <c r="T364" s="33">
        <f t="shared" si="40"/>
        <v>5</v>
      </c>
      <c r="U364" s="33">
        <f t="shared" si="41"/>
        <v>222.5</v>
      </c>
      <c r="V364" s="33">
        <f t="shared" si="42"/>
        <v>277.5</v>
      </c>
      <c r="W364" s="36">
        <f t="shared" si="47"/>
        <v>0.1</v>
      </c>
      <c r="X364" s="33">
        <f t="shared" si="43"/>
        <v>249.75</v>
      </c>
      <c r="Y364" s="33" t="str">
        <f t="shared" si="44"/>
        <v>Troy Gomez</v>
      </c>
      <c r="Z364" s="33" t="str">
        <f t="shared" si="45"/>
        <v>Late</v>
      </c>
      <c r="AA364" s="33" t="str">
        <f t="shared" si="46"/>
        <v>outlook.com</v>
      </c>
    </row>
    <row r="365" spans="1:27" ht="14.25" customHeight="1" x14ac:dyDescent="0.3">
      <c r="A365" t="s">
        <v>1614</v>
      </c>
      <c r="B365" t="s">
        <v>273</v>
      </c>
      <c r="C365" t="s">
        <v>1615</v>
      </c>
      <c r="D365">
        <v>62</v>
      </c>
      <c r="E365" t="s">
        <v>41</v>
      </c>
      <c r="F365" t="s">
        <v>42</v>
      </c>
      <c r="G365" t="s">
        <v>1616</v>
      </c>
      <c r="H365" t="s">
        <v>1617</v>
      </c>
      <c r="I365" t="s">
        <v>1618</v>
      </c>
      <c r="J365" s="8">
        <v>45678</v>
      </c>
      <c r="K365" t="s">
        <v>1619</v>
      </c>
      <c r="L365" t="s">
        <v>250</v>
      </c>
      <c r="M365">
        <v>128.13999999999999</v>
      </c>
      <c r="N365">
        <v>5</v>
      </c>
      <c r="O365" t="s">
        <v>85</v>
      </c>
      <c r="P365">
        <v>7</v>
      </c>
      <c r="Q365">
        <v>68</v>
      </c>
      <c r="R365" s="8">
        <v>45685</v>
      </c>
      <c r="S365" t="s">
        <v>1620</v>
      </c>
      <c r="T365" s="34">
        <f t="shared" si="40"/>
        <v>7</v>
      </c>
      <c r="U365" s="34">
        <f t="shared" si="41"/>
        <v>640.69999999999993</v>
      </c>
      <c r="V365" s="34">
        <f t="shared" si="42"/>
        <v>708.69999999999993</v>
      </c>
      <c r="W365" s="36">
        <f t="shared" si="47"/>
        <v>0.2</v>
      </c>
      <c r="X365" s="34">
        <f t="shared" si="43"/>
        <v>566.95999999999992</v>
      </c>
      <c r="Y365" s="34" t="str">
        <f t="shared" si="44"/>
        <v>Lauren Crane</v>
      </c>
      <c r="Z365" s="34" t="str">
        <f t="shared" si="45"/>
        <v>Intime</v>
      </c>
      <c r="AA365" s="34" t="str">
        <f t="shared" si="46"/>
        <v>yahoo.com</v>
      </c>
    </row>
    <row r="366" spans="1:27" ht="14.25" customHeight="1" x14ac:dyDescent="0.3">
      <c r="A366" t="s">
        <v>750</v>
      </c>
      <c r="B366" t="s">
        <v>751</v>
      </c>
      <c r="C366" t="s">
        <v>752</v>
      </c>
      <c r="D366">
        <v>43</v>
      </c>
      <c r="E366" t="s">
        <v>52</v>
      </c>
      <c r="F366" t="s">
        <v>159</v>
      </c>
      <c r="G366" t="s">
        <v>753</v>
      </c>
      <c r="H366" t="s">
        <v>754</v>
      </c>
      <c r="I366" t="s">
        <v>1621</v>
      </c>
      <c r="J366" s="8">
        <v>44978</v>
      </c>
      <c r="K366" t="s">
        <v>1622</v>
      </c>
      <c r="L366" t="s">
        <v>430</v>
      </c>
      <c r="M366">
        <v>369.03</v>
      </c>
      <c r="N366">
        <v>2</v>
      </c>
      <c r="O366" t="s">
        <v>96</v>
      </c>
      <c r="P366">
        <v>6</v>
      </c>
      <c r="Q366">
        <v>55</v>
      </c>
      <c r="R366" s="8">
        <v>44981</v>
      </c>
      <c r="S366" t="s">
        <v>1623</v>
      </c>
      <c r="T366" s="33">
        <f t="shared" si="40"/>
        <v>3</v>
      </c>
      <c r="U366" s="33">
        <f t="shared" si="41"/>
        <v>738.06</v>
      </c>
      <c r="V366" s="33">
        <f t="shared" si="42"/>
        <v>793.06</v>
      </c>
      <c r="W366" s="36">
        <f t="shared" si="47"/>
        <v>0.1</v>
      </c>
      <c r="X366" s="33">
        <f t="shared" si="43"/>
        <v>713.75400000000002</v>
      </c>
      <c r="Y366" s="33" t="str">
        <f t="shared" si="44"/>
        <v>Barbara Fuller</v>
      </c>
      <c r="Z366" s="33" t="str">
        <f t="shared" si="45"/>
        <v>BeforeTime</v>
      </c>
      <c r="AA366" s="33" t="str">
        <f t="shared" si="46"/>
        <v>rediffmail.com</v>
      </c>
    </row>
    <row r="367" spans="1:27" ht="14.25" customHeight="1" x14ac:dyDescent="0.3">
      <c r="A367" t="s">
        <v>1238</v>
      </c>
      <c r="B367" t="s">
        <v>1239</v>
      </c>
      <c r="C367" t="s">
        <v>1240</v>
      </c>
      <c r="D367">
        <v>55</v>
      </c>
      <c r="E367" t="s">
        <v>41</v>
      </c>
      <c r="F367" t="s">
        <v>159</v>
      </c>
      <c r="G367" t="s">
        <v>1241</v>
      </c>
      <c r="H367" t="s">
        <v>1242</v>
      </c>
      <c r="I367" t="s">
        <v>1624</v>
      </c>
      <c r="J367" s="8">
        <v>45421</v>
      </c>
      <c r="K367" t="s">
        <v>1625</v>
      </c>
      <c r="L367" t="s">
        <v>126</v>
      </c>
      <c r="M367">
        <v>257.06</v>
      </c>
      <c r="N367">
        <v>1</v>
      </c>
      <c r="O367" t="s">
        <v>85</v>
      </c>
      <c r="P367">
        <v>4</v>
      </c>
      <c r="Q367">
        <v>42</v>
      </c>
      <c r="R367" s="8">
        <v>45423</v>
      </c>
      <c r="S367" t="s">
        <v>1626</v>
      </c>
      <c r="T367" s="34">
        <f t="shared" si="40"/>
        <v>2</v>
      </c>
      <c r="U367" s="34">
        <f t="shared" si="41"/>
        <v>257.06</v>
      </c>
      <c r="V367" s="34">
        <f t="shared" si="42"/>
        <v>299.06</v>
      </c>
      <c r="W367" s="36">
        <f t="shared" si="47"/>
        <v>0.2</v>
      </c>
      <c r="X367" s="34">
        <f t="shared" si="43"/>
        <v>239.24800000000002</v>
      </c>
      <c r="Y367" s="34" t="str">
        <f t="shared" si="44"/>
        <v>Hannah Gutierrez</v>
      </c>
      <c r="Z367" s="34" t="str">
        <f t="shared" si="45"/>
        <v>BeforeTime</v>
      </c>
      <c r="AA367" s="34" t="str">
        <f t="shared" si="46"/>
        <v>yahoo.com</v>
      </c>
    </row>
    <row r="368" spans="1:27" ht="14.25" customHeight="1" x14ac:dyDescent="0.3">
      <c r="A368" t="s">
        <v>201</v>
      </c>
      <c r="B368" t="s">
        <v>202</v>
      </c>
      <c r="C368" t="s">
        <v>203</v>
      </c>
      <c r="D368">
        <v>23</v>
      </c>
      <c r="E368" t="s">
        <v>29</v>
      </c>
      <c r="F368" t="s">
        <v>90</v>
      </c>
      <c r="G368" t="s">
        <v>204</v>
      </c>
      <c r="H368" t="s">
        <v>205</v>
      </c>
      <c r="I368" t="s">
        <v>1627</v>
      </c>
      <c r="J368" s="8">
        <v>45225</v>
      </c>
      <c r="K368" t="s">
        <v>1628</v>
      </c>
      <c r="L368" t="s">
        <v>871</v>
      </c>
      <c r="M368">
        <v>292.14999999999998</v>
      </c>
      <c r="N368">
        <v>3</v>
      </c>
      <c r="O368" t="s">
        <v>63</v>
      </c>
      <c r="P368">
        <v>3</v>
      </c>
      <c r="Q368">
        <v>51</v>
      </c>
      <c r="R368" s="8">
        <v>45227</v>
      </c>
      <c r="S368" t="s">
        <v>1629</v>
      </c>
      <c r="T368" s="33">
        <f t="shared" si="40"/>
        <v>2</v>
      </c>
      <c r="U368" s="33">
        <f t="shared" si="41"/>
        <v>876.44999999999993</v>
      </c>
      <c r="V368" s="33">
        <f t="shared" si="42"/>
        <v>927.44999999999993</v>
      </c>
      <c r="W368" s="36">
        <f t="shared" si="47"/>
        <v>0</v>
      </c>
      <c r="X368" s="33">
        <f t="shared" si="43"/>
        <v>927.44999999999993</v>
      </c>
      <c r="Y368" s="33" t="str">
        <f t="shared" si="44"/>
        <v>Deborah Bates</v>
      </c>
      <c r="Z368" s="33" t="str">
        <f t="shared" si="45"/>
        <v>BeforeTime</v>
      </c>
      <c r="AA368" s="33" t="str">
        <f t="shared" si="46"/>
        <v>yahoo.com</v>
      </c>
    </row>
    <row r="369" spans="1:27" ht="14.25" customHeight="1" x14ac:dyDescent="0.3">
      <c r="A369" t="s">
        <v>1246</v>
      </c>
      <c r="B369" t="s">
        <v>66</v>
      </c>
      <c r="C369" t="s">
        <v>1247</v>
      </c>
      <c r="D369">
        <v>40</v>
      </c>
      <c r="E369" t="s">
        <v>29</v>
      </c>
      <c r="F369" t="s">
        <v>76</v>
      </c>
      <c r="G369" t="s">
        <v>1248</v>
      </c>
      <c r="H369" t="s">
        <v>1249</v>
      </c>
      <c r="I369" t="s">
        <v>1630</v>
      </c>
      <c r="J369" s="8">
        <v>45193</v>
      </c>
      <c r="K369" t="s">
        <v>1631</v>
      </c>
      <c r="L369" t="s">
        <v>246</v>
      </c>
      <c r="M369">
        <v>282.63</v>
      </c>
      <c r="N369">
        <v>2</v>
      </c>
      <c r="O369" t="s">
        <v>58</v>
      </c>
      <c r="P369">
        <v>6</v>
      </c>
      <c r="Q369">
        <v>62</v>
      </c>
      <c r="R369" s="8">
        <v>45194</v>
      </c>
      <c r="S369" t="s">
        <v>1632</v>
      </c>
      <c r="T369" s="34">
        <f t="shared" si="40"/>
        <v>1</v>
      </c>
      <c r="U369" s="34">
        <f t="shared" si="41"/>
        <v>565.26</v>
      </c>
      <c r="V369" s="34">
        <f t="shared" si="42"/>
        <v>627.26</v>
      </c>
      <c r="W369" s="36">
        <f t="shared" si="47"/>
        <v>0.15</v>
      </c>
      <c r="X369" s="34">
        <f t="shared" si="43"/>
        <v>533.17099999999994</v>
      </c>
      <c r="Y369" s="34" t="str">
        <f t="shared" si="44"/>
        <v>Angela Casey</v>
      </c>
      <c r="Z369" s="34" t="str">
        <f t="shared" si="45"/>
        <v>BeforeTime</v>
      </c>
      <c r="AA369" s="34" t="str">
        <f t="shared" si="46"/>
        <v>gmail.com</v>
      </c>
    </row>
    <row r="370" spans="1:27" ht="14.25" customHeight="1" x14ac:dyDescent="0.3">
      <c r="A370" t="s">
        <v>165</v>
      </c>
      <c r="B370" t="s">
        <v>166</v>
      </c>
      <c r="C370" t="s">
        <v>167</v>
      </c>
      <c r="D370">
        <v>46</v>
      </c>
      <c r="E370" t="s">
        <v>29</v>
      </c>
      <c r="F370" t="s">
        <v>168</v>
      </c>
      <c r="G370" t="s">
        <v>169</v>
      </c>
      <c r="H370" t="s">
        <v>170</v>
      </c>
      <c r="I370" t="s">
        <v>1633</v>
      </c>
      <c r="J370" s="8">
        <v>45473</v>
      </c>
      <c r="K370" t="s">
        <v>1634</v>
      </c>
      <c r="L370" t="s">
        <v>173</v>
      </c>
      <c r="M370">
        <v>272.51</v>
      </c>
      <c r="N370">
        <v>3</v>
      </c>
      <c r="O370" t="s">
        <v>36</v>
      </c>
      <c r="P370">
        <v>5</v>
      </c>
      <c r="Q370">
        <v>66</v>
      </c>
      <c r="R370" s="8">
        <v>45479</v>
      </c>
      <c r="S370" t="s">
        <v>1635</v>
      </c>
      <c r="T370" s="33">
        <f t="shared" si="40"/>
        <v>6</v>
      </c>
      <c r="U370" s="33">
        <f t="shared" si="41"/>
        <v>817.53</v>
      </c>
      <c r="V370" s="33">
        <f t="shared" si="42"/>
        <v>883.53</v>
      </c>
      <c r="W370" s="36">
        <f t="shared" si="47"/>
        <v>0.08</v>
      </c>
      <c r="X370" s="33">
        <f t="shared" si="43"/>
        <v>812.84760000000006</v>
      </c>
      <c r="Y370" s="33" t="str">
        <f t="shared" si="44"/>
        <v>Erin Miller</v>
      </c>
      <c r="Z370" s="33" t="str">
        <f t="shared" si="45"/>
        <v>Late</v>
      </c>
      <c r="AA370" s="33" t="str">
        <f t="shared" si="46"/>
        <v>gmail.com</v>
      </c>
    </row>
    <row r="371" spans="1:27" ht="14.25" customHeight="1" x14ac:dyDescent="0.3">
      <c r="A371" t="s">
        <v>420</v>
      </c>
      <c r="B371" t="s">
        <v>421</v>
      </c>
      <c r="C371" t="s">
        <v>422</v>
      </c>
      <c r="D371">
        <v>52</v>
      </c>
      <c r="E371" t="s">
        <v>52</v>
      </c>
      <c r="F371" t="s">
        <v>220</v>
      </c>
      <c r="G371" t="s">
        <v>423</v>
      </c>
      <c r="H371" t="s">
        <v>424</v>
      </c>
      <c r="I371" t="s">
        <v>1636</v>
      </c>
      <c r="J371" s="8">
        <v>44975</v>
      </c>
      <c r="K371" t="s">
        <v>1637</v>
      </c>
      <c r="L371" t="s">
        <v>81</v>
      </c>
      <c r="M371">
        <v>330.11</v>
      </c>
      <c r="N371">
        <v>2</v>
      </c>
      <c r="O371" t="s">
        <v>63</v>
      </c>
      <c r="P371">
        <v>3</v>
      </c>
      <c r="Q371">
        <v>55</v>
      </c>
      <c r="R371" s="8">
        <v>44976</v>
      </c>
      <c r="S371" t="s">
        <v>1638</v>
      </c>
      <c r="T371" s="34">
        <f t="shared" si="40"/>
        <v>1</v>
      </c>
      <c r="U371" s="34">
        <f t="shared" si="41"/>
        <v>660.22</v>
      </c>
      <c r="V371" s="34">
        <f t="shared" si="42"/>
        <v>715.22</v>
      </c>
      <c r="W371" s="36">
        <f t="shared" si="47"/>
        <v>0</v>
      </c>
      <c r="X371" s="34">
        <f t="shared" si="43"/>
        <v>715.22</v>
      </c>
      <c r="Y371" s="34" t="str">
        <f t="shared" si="44"/>
        <v>Amanda Howard</v>
      </c>
      <c r="Z371" s="34" t="str">
        <f t="shared" si="45"/>
        <v>BeforeTime</v>
      </c>
      <c r="AA371" s="34" t="str">
        <f t="shared" si="46"/>
        <v>outlook.com</v>
      </c>
    </row>
    <row r="372" spans="1:27" ht="14.25" customHeight="1" x14ac:dyDescent="0.3">
      <c r="A372" t="s">
        <v>156</v>
      </c>
      <c r="B372" t="s">
        <v>157</v>
      </c>
      <c r="C372" t="s">
        <v>158</v>
      </c>
      <c r="D372">
        <v>24</v>
      </c>
      <c r="E372" t="s">
        <v>29</v>
      </c>
      <c r="F372" t="s">
        <v>159</v>
      </c>
      <c r="G372" t="s">
        <v>160</v>
      </c>
      <c r="H372" t="s">
        <v>161</v>
      </c>
      <c r="I372" t="s">
        <v>1639</v>
      </c>
      <c r="J372" s="8">
        <v>45485</v>
      </c>
      <c r="K372" t="s">
        <v>1640</v>
      </c>
      <c r="L372" t="s">
        <v>234</v>
      </c>
      <c r="M372">
        <v>132.97</v>
      </c>
      <c r="N372">
        <v>2</v>
      </c>
      <c r="O372" t="s">
        <v>58</v>
      </c>
      <c r="P372">
        <v>4</v>
      </c>
      <c r="Q372">
        <v>40</v>
      </c>
      <c r="R372" s="8">
        <v>45487</v>
      </c>
      <c r="S372" t="s">
        <v>1641</v>
      </c>
      <c r="T372" s="33">
        <f t="shared" si="40"/>
        <v>2</v>
      </c>
      <c r="U372" s="33">
        <f t="shared" si="41"/>
        <v>265.94</v>
      </c>
      <c r="V372" s="33">
        <f t="shared" si="42"/>
        <v>305.94</v>
      </c>
      <c r="W372" s="36">
        <f t="shared" si="47"/>
        <v>0.15</v>
      </c>
      <c r="X372" s="33">
        <f t="shared" si="43"/>
        <v>260.04899999999998</v>
      </c>
      <c r="Y372" s="33" t="str">
        <f t="shared" si="44"/>
        <v>Joshua Campbell</v>
      </c>
      <c r="Z372" s="33" t="str">
        <f t="shared" si="45"/>
        <v>BeforeTime</v>
      </c>
      <c r="AA372" s="33" t="str">
        <f t="shared" si="46"/>
        <v>gmail.com</v>
      </c>
    </row>
    <row r="373" spans="1:27" ht="14.25" customHeight="1" x14ac:dyDescent="0.3">
      <c r="A373" t="s">
        <v>535</v>
      </c>
      <c r="B373" t="s">
        <v>536</v>
      </c>
      <c r="C373" t="s">
        <v>537</v>
      </c>
      <c r="D373">
        <v>32</v>
      </c>
      <c r="E373" t="s">
        <v>52</v>
      </c>
      <c r="F373" t="s">
        <v>90</v>
      </c>
      <c r="G373" t="s">
        <v>538</v>
      </c>
      <c r="H373" t="s">
        <v>539</v>
      </c>
      <c r="I373" t="s">
        <v>1642</v>
      </c>
      <c r="J373" s="8">
        <v>45006</v>
      </c>
      <c r="K373" t="s">
        <v>1643</v>
      </c>
      <c r="L373" t="s">
        <v>481</v>
      </c>
      <c r="M373">
        <v>87.09</v>
      </c>
      <c r="N373">
        <v>2</v>
      </c>
      <c r="O373" t="s">
        <v>63</v>
      </c>
      <c r="P373">
        <v>4</v>
      </c>
      <c r="Q373">
        <v>67</v>
      </c>
      <c r="R373" s="8">
        <v>45010</v>
      </c>
      <c r="S373" t="s">
        <v>1644</v>
      </c>
      <c r="T373" s="34">
        <f t="shared" si="40"/>
        <v>4</v>
      </c>
      <c r="U373" s="34">
        <f t="shared" si="41"/>
        <v>174.18</v>
      </c>
      <c r="V373" s="34">
        <f t="shared" si="42"/>
        <v>241.18</v>
      </c>
      <c r="W373" s="36">
        <f t="shared" si="47"/>
        <v>0</v>
      </c>
      <c r="X373" s="34">
        <f t="shared" si="43"/>
        <v>241.18</v>
      </c>
      <c r="Y373" s="34" t="str">
        <f t="shared" si="44"/>
        <v>Brandon Cruz</v>
      </c>
      <c r="Z373" s="34" t="str">
        <f t="shared" si="45"/>
        <v>Intime</v>
      </c>
      <c r="AA373" s="34" t="str">
        <f t="shared" si="46"/>
        <v>gmail.com</v>
      </c>
    </row>
    <row r="374" spans="1:27" ht="14.25" customHeight="1" x14ac:dyDescent="0.3">
      <c r="A374" t="s">
        <v>333</v>
      </c>
      <c r="B374" t="s">
        <v>334</v>
      </c>
      <c r="C374" t="s">
        <v>335</v>
      </c>
      <c r="D374">
        <v>23</v>
      </c>
      <c r="E374" t="s">
        <v>29</v>
      </c>
      <c r="F374" t="s">
        <v>30</v>
      </c>
      <c r="G374" t="s">
        <v>336</v>
      </c>
      <c r="H374" t="s">
        <v>337</v>
      </c>
      <c r="I374" t="s">
        <v>1645</v>
      </c>
      <c r="J374" s="8">
        <v>45622</v>
      </c>
      <c r="K374" t="s">
        <v>1646</v>
      </c>
      <c r="L374" t="s">
        <v>941</v>
      </c>
      <c r="M374">
        <v>107.47</v>
      </c>
      <c r="N374">
        <v>5</v>
      </c>
      <c r="O374" t="s">
        <v>36</v>
      </c>
      <c r="P374">
        <v>4</v>
      </c>
      <c r="Q374">
        <v>37</v>
      </c>
      <c r="R374" s="8">
        <v>45628</v>
      </c>
      <c r="S374" t="s">
        <v>1647</v>
      </c>
      <c r="T374" s="33">
        <f t="shared" si="40"/>
        <v>6</v>
      </c>
      <c r="U374" s="33">
        <f t="shared" si="41"/>
        <v>537.35</v>
      </c>
      <c r="V374" s="33">
        <f t="shared" si="42"/>
        <v>574.35</v>
      </c>
      <c r="W374" s="36">
        <f t="shared" si="47"/>
        <v>0.08</v>
      </c>
      <c r="X374" s="33">
        <f t="shared" si="43"/>
        <v>528.40200000000004</v>
      </c>
      <c r="Y374" s="33" t="str">
        <f t="shared" si="44"/>
        <v>Julie Meyer</v>
      </c>
      <c r="Z374" s="33" t="str">
        <f t="shared" si="45"/>
        <v>Late</v>
      </c>
      <c r="AA374" s="33" t="str">
        <f t="shared" si="46"/>
        <v>yahoo.com</v>
      </c>
    </row>
    <row r="375" spans="1:27" ht="14.25" customHeight="1" x14ac:dyDescent="0.3">
      <c r="A375" t="s">
        <v>731</v>
      </c>
      <c r="B375" t="s">
        <v>732</v>
      </c>
      <c r="C375" t="s">
        <v>733</v>
      </c>
      <c r="D375">
        <v>30</v>
      </c>
      <c r="E375" t="s">
        <v>29</v>
      </c>
      <c r="F375" t="s">
        <v>159</v>
      </c>
      <c r="G375" t="s">
        <v>734</v>
      </c>
      <c r="H375" t="s">
        <v>735</v>
      </c>
      <c r="I375" t="s">
        <v>1648</v>
      </c>
      <c r="J375" s="8">
        <v>45417</v>
      </c>
      <c r="K375" t="s">
        <v>1649</v>
      </c>
      <c r="L375" t="s">
        <v>941</v>
      </c>
      <c r="M375">
        <v>107.47</v>
      </c>
      <c r="N375">
        <v>5</v>
      </c>
      <c r="O375" t="s">
        <v>96</v>
      </c>
      <c r="P375">
        <v>4</v>
      </c>
      <c r="Q375">
        <v>47</v>
      </c>
      <c r="R375" s="8">
        <v>45424</v>
      </c>
      <c r="S375" t="s">
        <v>1650</v>
      </c>
      <c r="T375" s="34">
        <f t="shared" si="40"/>
        <v>7</v>
      </c>
      <c r="U375" s="34">
        <f t="shared" si="41"/>
        <v>537.35</v>
      </c>
      <c r="V375" s="34">
        <f t="shared" si="42"/>
        <v>584.35</v>
      </c>
      <c r="W375" s="36">
        <f t="shared" si="47"/>
        <v>0.1</v>
      </c>
      <c r="X375" s="34">
        <f t="shared" si="43"/>
        <v>525.91500000000008</v>
      </c>
      <c r="Y375" s="34" t="str">
        <f t="shared" si="44"/>
        <v>Melissa Levy</v>
      </c>
      <c r="Z375" s="34" t="str">
        <f t="shared" si="45"/>
        <v>Late</v>
      </c>
      <c r="AA375" s="34" t="str">
        <f t="shared" si="46"/>
        <v>rediffmail.com</v>
      </c>
    </row>
    <row r="376" spans="1:27" ht="14.25" customHeight="1" x14ac:dyDescent="0.3">
      <c r="A376" t="s">
        <v>646</v>
      </c>
      <c r="B376" t="s">
        <v>647</v>
      </c>
      <c r="C376" t="s">
        <v>648</v>
      </c>
      <c r="D376">
        <v>45</v>
      </c>
      <c r="E376" t="s">
        <v>52</v>
      </c>
      <c r="F376" t="s">
        <v>90</v>
      </c>
      <c r="G376" t="s">
        <v>649</v>
      </c>
      <c r="H376" t="s">
        <v>650</v>
      </c>
      <c r="I376" t="s">
        <v>1651</v>
      </c>
      <c r="J376" s="8">
        <v>45446</v>
      </c>
      <c r="K376" t="s">
        <v>1652</v>
      </c>
      <c r="L376" t="s">
        <v>563</v>
      </c>
      <c r="M376">
        <v>133.62</v>
      </c>
      <c r="N376">
        <v>1</v>
      </c>
      <c r="O376" t="s">
        <v>58</v>
      </c>
      <c r="P376">
        <v>5</v>
      </c>
      <c r="Q376">
        <v>39</v>
      </c>
      <c r="R376" s="8">
        <v>45451</v>
      </c>
      <c r="S376" t="s">
        <v>1653</v>
      </c>
      <c r="T376" s="33">
        <f t="shared" si="40"/>
        <v>5</v>
      </c>
      <c r="U376" s="33">
        <f t="shared" si="41"/>
        <v>133.62</v>
      </c>
      <c r="V376" s="33">
        <f t="shared" si="42"/>
        <v>172.62</v>
      </c>
      <c r="W376" s="36">
        <f t="shared" si="47"/>
        <v>0.15</v>
      </c>
      <c r="X376" s="33">
        <f t="shared" si="43"/>
        <v>146.727</v>
      </c>
      <c r="Y376" s="33" t="str">
        <f t="shared" si="44"/>
        <v>Beth Mason</v>
      </c>
      <c r="Z376" s="33" t="str">
        <f t="shared" si="45"/>
        <v>Intime</v>
      </c>
      <c r="AA376" s="33" t="str">
        <f t="shared" si="46"/>
        <v>outlook.com</v>
      </c>
    </row>
    <row r="377" spans="1:27" ht="14.25" customHeight="1" x14ac:dyDescent="0.3">
      <c r="A377" t="s">
        <v>435</v>
      </c>
      <c r="B377" t="s">
        <v>436</v>
      </c>
      <c r="C377" t="s">
        <v>437</v>
      </c>
      <c r="D377">
        <v>28</v>
      </c>
      <c r="E377" t="s">
        <v>52</v>
      </c>
      <c r="F377" t="s">
        <v>76</v>
      </c>
      <c r="G377" t="s">
        <v>438</v>
      </c>
      <c r="H377" t="s">
        <v>439</v>
      </c>
      <c r="I377" t="s">
        <v>1654</v>
      </c>
      <c r="J377" s="8">
        <v>45247</v>
      </c>
      <c r="K377" t="s">
        <v>1655</v>
      </c>
      <c r="L377" t="s">
        <v>105</v>
      </c>
      <c r="M377">
        <v>275.44</v>
      </c>
      <c r="N377">
        <v>2</v>
      </c>
      <c r="O377" t="s">
        <v>85</v>
      </c>
      <c r="P377">
        <v>3</v>
      </c>
      <c r="Q377">
        <v>43</v>
      </c>
      <c r="R377" s="8">
        <v>45251</v>
      </c>
      <c r="S377" t="s">
        <v>1656</v>
      </c>
      <c r="T377" s="34">
        <f t="shared" si="40"/>
        <v>4</v>
      </c>
      <c r="U377" s="34">
        <f t="shared" si="41"/>
        <v>550.88</v>
      </c>
      <c r="V377" s="34">
        <f t="shared" si="42"/>
        <v>593.88</v>
      </c>
      <c r="W377" s="36">
        <f t="shared" si="47"/>
        <v>0.2</v>
      </c>
      <c r="X377" s="34">
        <f t="shared" si="43"/>
        <v>475.10400000000004</v>
      </c>
      <c r="Y377" s="34" t="str">
        <f t="shared" si="44"/>
        <v>Mary Knight</v>
      </c>
      <c r="Z377" s="34" t="str">
        <f t="shared" si="45"/>
        <v>Late</v>
      </c>
      <c r="AA377" s="34" t="str">
        <f t="shared" si="46"/>
        <v>yahoo.com</v>
      </c>
    </row>
    <row r="378" spans="1:27" ht="14.25" customHeight="1" x14ac:dyDescent="0.3">
      <c r="A378" t="s">
        <v>925</v>
      </c>
      <c r="B378" t="s">
        <v>926</v>
      </c>
      <c r="C378" t="s">
        <v>927</v>
      </c>
      <c r="D378">
        <v>24</v>
      </c>
      <c r="E378" t="s">
        <v>52</v>
      </c>
      <c r="F378" t="s">
        <v>220</v>
      </c>
      <c r="G378" t="s">
        <v>928</v>
      </c>
      <c r="H378" t="s">
        <v>929</v>
      </c>
      <c r="I378" t="s">
        <v>1657</v>
      </c>
      <c r="J378" s="8">
        <v>45113</v>
      </c>
      <c r="K378" t="s">
        <v>1658</v>
      </c>
      <c r="L378" t="s">
        <v>81</v>
      </c>
      <c r="M378">
        <v>330.11</v>
      </c>
      <c r="N378">
        <v>3</v>
      </c>
      <c r="O378" t="s">
        <v>58</v>
      </c>
      <c r="P378">
        <v>2</v>
      </c>
      <c r="Q378">
        <v>56</v>
      </c>
      <c r="R378" s="8">
        <v>45117</v>
      </c>
      <c r="S378" t="s">
        <v>1659</v>
      </c>
      <c r="T378" s="33">
        <f t="shared" si="40"/>
        <v>4</v>
      </c>
      <c r="U378" s="33">
        <f t="shared" si="41"/>
        <v>990.33</v>
      </c>
      <c r="V378" s="33">
        <f t="shared" si="42"/>
        <v>1046.33</v>
      </c>
      <c r="W378" s="36">
        <f t="shared" si="47"/>
        <v>0.15</v>
      </c>
      <c r="X378" s="33">
        <f t="shared" si="43"/>
        <v>889.38049999999987</v>
      </c>
      <c r="Y378" s="33" t="str">
        <f t="shared" si="44"/>
        <v>Rachael Robinson</v>
      </c>
      <c r="Z378" s="33" t="str">
        <f t="shared" si="45"/>
        <v>Late</v>
      </c>
      <c r="AA378" s="33" t="str">
        <f t="shared" si="46"/>
        <v>rediffmail.com</v>
      </c>
    </row>
    <row r="379" spans="1:27" ht="14.25" customHeight="1" x14ac:dyDescent="0.3">
      <c r="A379" t="s">
        <v>435</v>
      </c>
      <c r="B379" t="s">
        <v>436</v>
      </c>
      <c r="C379" t="s">
        <v>437</v>
      </c>
      <c r="D379">
        <v>28</v>
      </c>
      <c r="E379" t="s">
        <v>52</v>
      </c>
      <c r="F379" t="s">
        <v>76</v>
      </c>
      <c r="G379" t="s">
        <v>438</v>
      </c>
      <c r="H379" t="s">
        <v>439</v>
      </c>
      <c r="I379" t="s">
        <v>1660</v>
      </c>
      <c r="J379" s="8">
        <v>45307</v>
      </c>
      <c r="K379" t="s">
        <v>1661</v>
      </c>
      <c r="L379" t="s">
        <v>173</v>
      </c>
      <c r="M379">
        <v>272.51</v>
      </c>
      <c r="N379">
        <v>3</v>
      </c>
      <c r="O379" t="s">
        <v>36</v>
      </c>
      <c r="P379">
        <v>6</v>
      </c>
      <c r="Q379">
        <v>44</v>
      </c>
      <c r="R379" s="8">
        <v>45310</v>
      </c>
      <c r="S379" t="s">
        <v>1662</v>
      </c>
      <c r="T379" s="34">
        <f t="shared" si="40"/>
        <v>3</v>
      </c>
      <c r="U379" s="34">
        <f t="shared" si="41"/>
        <v>817.53</v>
      </c>
      <c r="V379" s="34">
        <f t="shared" si="42"/>
        <v>861.53</v>
      </c>
      <c r="W379" s="36">
        <f t="shared" si="47"/>
        <v>0.08</v>
      </c>
      <c r="X379" s="34">
        <f t="shared" si="43"/>
        <v>792.60760000000005</v>
      </c>
      <c r="Y379" s="34" t="str">
        <f t="shared" si="44"/>
        <v>Mary Knight</v>
      </c>
      <c r="Z379" s="34" t="str">
        <f t="shared" si="45"/>
        <v>BeforeTime</v>
      </c>
      <c r="AA379" s="34" t="str">
        <f t="shared" si="46"/>
        <v>yahoo.com</v>
      </c>
    </row>
    <row r="380" spans="1:27" ht="14.25" customHeight="1" x14ac:dyDescent="0.3">
      <c r="A380" t="s">
        <v>705</v>
      </c>
      <c r="B380" t="s">
        <v>706</v>
      </c>
      <c r="C380" t="s">
        <v>707</v>
      </c>
      <c r="D380">
        <v>26</v>
      </c>
      <c r="E380" t="s">
        <v>52</v>
      </c>
      <c r="F380" t="s">
        <v>76</v>
      </c>
      <c r="G380" t="s">
        <v>708</v>
      </c>
      <c r="H380" t="s">
        <v>709</v>
      </c>
      <c r="I380" t="s">
        <v>1663</v>
      </c>
      <c r="J380" s="8">
        <v>45238</v>
      </c>
      <c r="K380" t="s">
        <v>1664</v>
      </c>
      <c r="L380" t="s">
        <v>135</v>
      </c>
      <c r="M380">
        <v>175.93</v>
      </c>
      <c r="N380">
        <v>4</v>
      </c>
      <c r="O380" t="s">
        <v>85</v>
      </c>
      <c r="P380">
        <v>6</v>
      </c>
      <c r="Q380">
        <v>54</v>
      </c>
      <c r="R380" s="8">
        <v>45240</v>
      </c>
      <c r="S380" t="s">
        <v>1665</v>
      </c>
      <c r="T380" s="33">
        <f t="shared" si="40"/>
        <v>2</v>
      </c>
      <c r="U380" s="33">
        <f t="shared" si="41"/>
        <v>703.72</v>
      </c>
      <c r="V380" s="33">
        <f t="shared" si="42"/>
        <v>757.72</v>
      </c>
      <c r="W380" s="36">
        <f t="shared" si="47"/>
        <v>0.2</v>
      </c>
      <c r="X380" s="33">
        <f t="shared" si="43"/>
        <v>606.17600000000004</v>
      </c>
      <c r="Y380" s="33" t="str">
        <f t="shared" si="44"/>
        <v>Gregory Lee</v>
      </c>
      <c r="Z380" s="33" t="str">
        <f t="shared" si="45"/>
        <v>BeforeTime</v>
      </c>
      <c r="AA380" s="33" t="str">
        <f t="shared" si="46"/>
        <v>rediffmail.com</v>
      </c>
    </row>
    <row r="381" spans="1:27" ht="14.25" customHeight="1" x14ac:dyDescent="0.3">
      <c r="A381" t="s">
        <v>1614</v>
      </c>
      <c r="B381" t="s">
        <v>273</v>
      </c>
      <c r="C381" t="s">
        <v>1615</v>
      </c>
      <c r="D381">
        <v>62</v>
      </c>
      <c r="E381" t="s">
        <v>41</v>
      </c>
      <c r="F381" t="s">
        <v>42</v>
      </c>
      <c r="G381" t="s">
        <v>1616</v>
      </c>
      <c r="H381" t="s">
        <v>1617</v>
      </c>
      <c r="I381" t="s">
        <v>1666</v>
      </c>
      <c r="J381" s="8">
        <v>45459</v>
      </c>
      <c r="K381" t="s">
        <v>1667</v>
      </c>
      <c r="L381" t="s">
        <v>430</v>
      </c>
      <c r="M381">
        <v>369.03</v>
      </c>
      <c r="N381">
        <v>3</v>
      </c>
      <c r="O381" t="s">
        <v>36</v>
      </c>
      <c r="P381">
        <v>6</v>
      </c>
      <c r="Q381">
        <v>57</v>
      </c>
      <c r="R381" s="8">
        <v>45461</v>
      </c>
      <c r="S381" t="s">
        <v>1668</v>
      </c>
      <c r="T381" s="34">
        <f t="shared" si="40"/>
        <v>2</v>
      </c>
      <c r="U381" s="34">
        <f t="shared" si="41"/>
        <v>1107.0899999999999</v>
      </c>
      <c r="V381" s="34">
        <f t="shared" si="42"/>
        <v>1164.0899999999999</v>
      </c>
      <c r="W381" s="36">
        <f t="shared" si="47"/>
        <v>0.08</v>
      </c>
      <c r="X381" s="34">
        <f t="shared" si="43"/>
        <v>1070.9628</v>
      </c>
      <c r="Y381" s="34" t="str">
        <f t="shared" si="44"/>
        <v>Lauren Crane</v>
      </c>
      <c r="Z381" s="34" t="str">
        <f t="shared" si="45"/>
        <v>BeforeTime</v>
      </c>
      <c r="AA381" s="34" t="str">
        <f t="shared" si="46"/>
        <v>yahoo.com</v>
      </c>
    </row>
    <row r="382" spans="1:27" ht="14.25" customHeight="1" x14ac:dyDescent="0.3">
      <c r="A382" t="s">
        <v>1342</v>
      </c>
      <c r="B382" t="s">
        <v>508</v>
      </c>
      <c r="C382" t="s">
        <v>1343</v>
      </c>
      <c r="D382">
        <v>40</v>
      </c>
      <c r="E382" t="s">
        <v>52</v>
      </c>
      <c r="F382" t="s">
        <v>220</v>
      </c>
      <c r="G382" t="s">
        <v>1344</v>
      </c>
      <c r="H382" t="s">
        <v>1345</v>
      </c>
      <c r="I382" t="s">
        <v>1669</v>
      </c>
      <c r="J382" s="8">
        <v>45040</v>
      </c>
      <c r="K382" t="s">
        <v>1670</v>
      </c>
      <c r="L382" t="s">
        <v>344</v>
      </c>
      <c r="M382">
        <v>372.62</v>
      </c>
      <c r="N382">
        <v>2</v>
      </c>
      <c r="O382" t="s">
        <v>85</v>
      </c>
      <c r="P382">
        <v>2</v>
      </c>
      <c r="Q382">
        <v>47</v>
      </c>
      <c r="R382" s="8">
        <v>45041</v>
      </c>
      <c r="S382" t="s">
        <v>1671</v>
      </c>
      <c r="T382" s="33">
        <f t="shared" si="40"/>
        <v>1</v>
      </c>
      <c r="U382" s="33">
        <f t="shared" si="41"/>
        <v>745.24</v>
      </c>
      <c r="V382" s="33">
        <f t="shared" si="42"/>
        <v>792.24</v>
      </c>
      <c r="W382" s="36">
        <f t="shared" si="47"/>
        <v>0.2</v>
      </c>
      <c r="X382" s="33">
        <f t="shared" si="43"/>
        <v>633.79200000000003</v>
      </c>
      <c r="Y382" s="33" t="str">
        <f t="shared" si="44"/>
        <v>Sarah Benson</v>
      </c>
      <c r="Z382" s="33" t="str">
        <f t="shared" si="45"/>
        <v>BeforeTime</v>
      </c>
      <c r="AA382" s="33" t="str">
        <f t="shared" si="46"/>
        <v>outlook.com</v>
      </c>
    </row>
    <row r="383" spans="1:27" ht="14.25" customHeight="1" x14ac:dyDescent="0.3">
      <c r="A383" t="s">
        <v>349</v>
      </c>
      <c r="B383" t="s">
        <v>350</v>
      </c>
      <c r="C383" t="s">
        <v>351</v>
      </c>
      <c r="D383">
        <v>70</v>
      </c>
      <c r="E383" t="s">
        <v>29</v>
      </c>
      <c r="F383" t="s">
        <v>168</v>
      </c>
      <c r="G383" t="s">
        <v>352</v>
      </c>
      <c r="H383" t="s">
        <v>353</v>
      </c>
      <c r="I383" t="s">
        <v>1672</v>
      </c>
      <c r="J383" s="8">
        <v>45270</v>
      </c>
      <c r="K383" t="s">
        <v>1673</v>
      </c>
      <c r="L383" t="s">
        <v>418</v>
      </c>
      <c r="M383">
        <v>44.5</v>
      </c>
      <c r="N383">
        <v>1</v>
      </c>
      <c r="O383" t="s">
        <v>63</v>
      </c>
      <c r="P383">
        <v>1</v>
      </c>
      <c r="Q383">
        <v>37</v>
      </c>
      <c r="R383" s="8">
        <v>45277</v>
      </c>
      <c r="S383" t="s">
        <v>1674</v>
      </c>
      <c r="T383" s="34">
        <f t="shared" si="40"/>
        <v>7</v>
      </c>
      <c r="U383" s="34">
        <f t="shared" si="41"/>
        <v>44.5</v>
      </c>
      <c r="V383" s="34">
        <f t="shared" si="42"/>
        <v>81.5</v>
      </c>
      <c r="W383" s="36">
        <f t="shared" si="47"/>
        <v>0</v>
      </c>
      <c r="X383" s="34">
        <f t="shared" si="43"/>
        <v>81.5</v>
      </c>
      <c r="Y383" s="34" t="str">
        <f t="shared" si="44"/>
        <v>Donna Oneill</v>
      </c>
      <c r="Z383" s="34" t="str">
        <f t="shared" si="45"/>
        <v>Late</v>
      </c>
      <c r="AA383" s="34" t="str">
        <f t="shared" si="46"/>
        <v>yahoo.com</v>
      </c>
    </row>
    <row r="384" spans="1:27" ht="14.25" customHeight="1" x14ac:dyDescent="0.3">
      <c r="A384" t="s">
        <v>475</v>
      </c>
      <c r="B384" t="s">
        <v>108</v>
      </c>
      <c r="C384" t="s">
        <v>476</v>
      </c>
      <c r="D384">
        <v>33</v>
      </c>
      <c r="E384" t="s">
        <v>29</v>
      </c>
      <c r="F384" t="s">
        <v>168</v>
      </c>
      <c r="G384" t="s">
        <v>477</v>
      </c>
      <c r="H384" t="s">
        <v>478</v>
      </c>
      <c r="I384" t="s">
        <v>1675</v>
      </c>
      <c r="J384" s="8">
        <v>45060</v>
      </c>
      <c r="K384" t="s">
        <v>1676</v>
      </c>
      <c r="L384" t="s">
        <v>287</v>
      </c>
      <c r="M384">
        <v>157.63999999999999</v>
      </c>
      <c r="N384">
        <v>1</v>
      </c>
      <c r="O384" t="s">
        <v>96</v>
      </c>
      <c r="P384">
        <v>7</v>
      </c>
      <c r="Q384">
        <v>48</v>
      </c>
      <c r="R384" s="8">
        <v>45067</v>
      </c>
      <c r="S384" t="s">
        <v>1677</v>
      </c>
      <c r="T384" s="33">
        <f t="shared" si="40"/>
        <v>7</v>
      </c>
      <c r="U384" s="33">
        <f t="shared" si="41"/>
        <v>157.63999999999999</v>
      </c>
      <c r="V384" s="33">
        <f t="shared" si="42"/>
        <v>205.64</v>
      </c>
      <c r="W384" s="36">
        <f t="shared" si="47"/>
        <v>0.1</v>
      </c>
      <c r="X384" s="33">
        <f t="shared" si="43"/>
        <v>185.07599999999999</v>
      </c>
      <c r="Y384" s="33" t="str">
        <f t="shared" si="44"/>
        <v>Debra Hayes</v>
      </c>
      <c r="Z384" s="33" t="str">
        <f t="shared" si="45"/>
        <v>Intime</v>
      </c>
      <c r="AA384" s="33" t="str">
        <f t="shared" si="46"/>
        <v>yahoo.com</v>
      </c>
    </row>
    <row r="385" spans="1:27" ht="14.25" customHeight="1" x14ac:dyDescent="0.3">
      <c r="A385" t="s">
        <v>192</v>
      </c>
      <c r="B385" t="s">
        <v>193</v>
      </c>
      <c r="C385" t="s">
        <v>194</v>
      </c>
      <c r="D385">
        <v>34</v>
      </c>
      <c r="E385" t="s">
        <v>29</v>
      </c>
      <c r="F385" t="s">
        <v>90</v>
      </c>
      <c r="G385" t="s">
        <v>195</v>
      </c>
      <c r="H385" t="s">
        <v>196</v>
      </c>
      <c r="I385" t="s">
        <v>1678</v>
      </c>
      <c r="J385" s="8">
        <v>45243</v>
      </c>
      <c r="K385" t="s">
        <v>1679</v>
      </c>
      <c r="L385" t="s">
        <v>199</v>
      </c>
      <c r="M385">
        <v>20.7</v>
      </c>
      <c r="N385">
        <v>3</v>
      </c>
      <c r="O385" t="s">
        <v>36</v>
      </c>
      <c r="P385">
        <v>5</v>
      </c>
      <c r="Q385">
        <v>46</v>
      </c>
      <c r="R385" s="8">
        <v>45245</v>
      </c>
      <c r="S385" t="s">
        <v>1680</v>
      </c>
      <c r="T385" s="34">
        <f t="shared" si="40"/>
        <v>2</v>
      </c>
      <c r="U385" s="34">
        <f t="shared" si="41"/>
        <v>62.099999999999994</v>
      </c>
      <c r="V385" s="34">
        <f t="shared" si="42"/>
        <v>108.1</v>
      </c>
      <c r="W385" s="36">
        <f t="shared" si="47"/>
        <v>0.08</v>
      </c>
      <c r="X385" s="34">
        <f t="shared" si="43"/>
        <v>99.451999999999998</v>
      </c>
      <c r="Y385" s="34" t="str">
        <f t="shared" si="44"/>
        <v>Traci Jones</v>
      </c>
      <c r="Z385" s="34" t="str">
        <f t="shared" si="45"/>
        <v>BeforeTime</v>
      </c>
      <c r="AA385" s="34" t="str">
        <f t="shared" si="46"/>
        <v>yahoo.com</v>
      </c>
    </row>
    <row r="386" spans="1:27" ht="14.25" customHeight="1" x14ac:dyDescent="0.3">
      <c r="A386" t="s">
        <v>639</v>
      </c>
      <c r="B386" t="s">
        <v>148</v>
      </c>
      <c r="C386" t="s">
        <v>640</v>
      </c>
      <c r="D386">
        <v>44</v>
      </c>
      <c r="E386" t="s">
        <v>52</v>
      </c>
      <c r="F386" t="s">
        <v>90</v>
      </c>
      <c r="G386" t="s">
        <v>641</v>
      </c>
      <c r="H386" t="s">
        <v>642</v>
      </c>
      <c r="I386" t="s">
        <v>1681</v>
      </c>
      <c r="J386" s="8">
        <v>45264</v>
      </c>
      <c r="K386" t="s">
        <v>1682</v>
      </c>
      <c r="L386" t="s">
        <v>250</v>
      </c>
      <c r="M386">
        <v>128.13999999999999</v>
      </c>
      <c r="N386">
        <v>3</v>
      </c>
      <c r="O386" t="s">
        <v>85</v>
      </c>
      <c r="P386">
        <v>2</v>
      </c>
      <c r="Q386">
        <v>49</v>
      </c>
      <c r="R386" s="8">
        <v>45270</v>
      </c>
      <c r="S386" t="s">
        <v>1683</v>
      </c>
      <c r="T386" s="33">
        <f t="shared" ref="T386:T449" si="48">R386-J386</f>
        <v>6</v>
      </c>
      <c r="U386" s="33">
        <f t="shared" ref="U386:U449" si="49">M386*N386</f>
        <v>384.41999999999996</v>
      </c>
      <c r="V386" s="33">
        <f t="shared" ref="V386:V449" si="50">U386+Q386</f>
        <v>433.41999999999996</v>
      </c>
      <c r="W386" s="36">
        <f t="shared" si="47"/>
        <v>0.2</v>
      </c>
      <c r="X386" s="33">
        <f t="shared" ref="X386:X449" si="51">V386*(1-W386)</f>
        <v>346.73599999999999</v>
      </c>
      <c r="Y386" s="33" t="str">
        <f t="shared" ref="Y386:Y449" si="52">B386&amp;" "&amp;C386</f>
        <v>Amy Ellis</v>
      </c>
      <c r="Z386" s="33" t="str">
        <f t="shared" ref="Z386:Z449" si="53">IF(T386&gt;P386,"Late",IF(T386&lt;P386,"BeforeTime","Intime"))</f>
        <v>Late</v>
      </c>
      <c r="AA386" s="33" t="str">
        <f t="shared" ref="AA386:AA449" si="54">MID(G386,FIND("@",G386)+1,LEN(G386)-FIND("@",G386))</f>
        <v>gmail.com</v>
      </c>
    </row>
    <row r="387" spans="1:27" ht="14.25" customHeight="1" x14ac:dyDescent="0.3">
      <c r="A387" t="s">
        <v>646</v>
      </c>
      <c r="B387" t="s">
        <v>647</v>
      </c>
      <c r="C387" t="s">
        <v>648</v>
      </c>
      <c r="D387">
        <v>45</v>
      </c>
      <c r="E387" t="s">
        <v>52</v>
      </c>
      <c r="F387" t="s">
        <v>90</v>
      </c>
      <c r="G387" t="s">
        <v>649</v>
      </c>
      <c r="H387" t="s">
        <v>650</v>
      </c>
      <c r="I387" t="s">
        <v>1684</v>
      </c>
      <c r="J387" s="8">
        <v>45404</v>
      </c>
      <c r="K387" t="s">
        <v>1685</v>
      </c>
      <c r="L387" t="s">
        <v>287</v>
      </c>
      <c r="M387">
        <v>157.63999999999999</v>
      </c>
      <c r="N387">
        <v>3</v>
      </c>
      <c r="O387" t="s">
        <v>36</v>
      </c>
      <c r="P387">
        <v>4</v>
      </c>
      <c r="Q387">
        <v>66</v>
      </c>
      <c r="R387" s="8">
        <v>45405</v>
      </c>
      <c r="S387" t="s">
        <v>1399</v>
      </c>
      <c r="T387" s="34">
        <f t="shared" si="48"/>
        <v>1</v>
      </c>
      <c r="U387" s="34">
        <f t="shared" si="49"/>
        <v>472.91999999999996</v>
      </c>
      <c r="V387" s="34">
        <f t="shared" si="50"/>
        <v>538.91999999999996</v>
      </c>
      <c r="W387" s="36">
        <f t="shared" ref="W387:W450" si="55">IF(O387="FLAT8",0.08,IF(O387="FLAT10",0.1,IF(O387="FLAT15",0.15,IF(O387="FLAT20",0.2,0))))</f>
        <v>0.08</v>
      </c>
      <c r="X387" s="34">
        <f t="shared" si="51"/>
        <v>495.8064</v>
      </c>
      <c r="Y387" s="34" t="str">
        <f t="shared" si="52"/>
        <v>Beth Mason</v>
      </c>
      <c r="Z387" s="34" t="str">
        <f t="shared" si="53"/>
        <v>BeforeTime</v>
      </c>
      <c r="AA387" s="34" t="str">
        <f t="shared" si="54"/>
        <v>outlook.com</v>
      </c>
    </row>
    <row r="388" spans="1:27" ht="14.25" customHeight="1" x14ac:dyDescent="0.3">
      <c r="A388" t="s">
        <v>38</v>
      </c>
      <c r="B388" t="s">
        <v>39</v>
      </c>
      <c r="C388" t="s">
        <v>40</v>
      </c>
      <c r="D388">
        <v>53</v>
      </c>
      <c r="E388" t="s">
        <v>41</v>
      </c>
      <c r="F388" t="s">
        <v>42</v>
      </c>
      <c r="G388" t="s">
        <v>43</v>
      </c>
      <c r="H388" t="s">
        <v>44</v>
      </c>
      <c r="I388" t="s">
        <v>1686</v>
      </c>
      <c r="J388" s="8">
        <v>45469</v>
      </c>
      <c r="K388" t="s">
        <v>1687</v>
      </c>
      <c r="L388" t="s">
        <v>344</v>
      </c>
      <c r="M388">
        <v>372.62</v>
      </c>
      <c r="N388">
        <v>1</v>
      </c>
      <c r="O388" t="s">
        <v>96</v>
      </c>
      <c r="P388">
        <v>1</v>
      </c>
      <c r="Q388">
        <v>66</v>
      </c>
      <c r="R388" s="8">
        <v>45471</v>
      </c>
      <c r="S388" t="s">
        <v>1688</v>
      </c>
      <c r="T388" s="33">
        <f t="shared" si="48"/>
        <v>2</v>
      </c>
      <c r="U388" s="33">
        <f t="shared" si="49"/>
        <v>372.62</v>
      </c>
      <c r="V388" s="33">
        <f t="shared" si="50"/>
        <v>438.62</v>
      </c>
      <c r="W388" s="36">
        <f t="shared" si="55"/>
        <v>0.1</v>
      </c>
      <c r="X388" s="33">
        <f t="shared" si="51"/>
        <v>394.75800000000004</v>
      </c>
      <c r="Y388" s="33" t="str">
        <f t="shared" si="52"/>
        <v>Anthony Thomas</v>
      </c>
      <c r="Z388" s="33" t="str">
        <f t="shared" si="53"/>
        <v>Late</v>
      </c>
      <c r="AA388" s="33" t="str">
        <f t="shared" si="54"/>
        <v>rediffmail.com</v>
      </c>
    </row>
    <row r="389" spans="1:27" ht="14.25" customHeight="1" x14ac:dyDescent="0.3">
      <c r="A389" t="s">
        <v>1614</v>
      </c>
      <c r="B389" t="s">
        <v>273</v>
      </c>
      <c r="C389" t="s">
        <v>1615</v>
      </c>
      <c r="D389">
        <v>62</v>
      </c>
      <c r="E389" t="s">
        <v>41</v>
      </c>
      <c r="F389" t="s">
        <v>42</v>
      </c>
      <c r="G389" t="s">
        <v>1616</v>
      </c>
      <c r="H389" t="s">
        <v>1617</v>
      </c>
      <c r="I389" t="s">
        <v>1689</v>
      </c>
      <c r="J389" s="8">
        <v>45116</v>
      </c>
      <c r="K389" t="s">
        <v>1690</v>
      </c>
      <c r="L389" t="s">
        <v>95</v>
      </c>
      <c r="M389">
        <v>363.64</v>
      </c>
      <c r="N389">
        <v>4</v>
      </c>
      <c r="O389" t="s">
        <v>63</v>
      </c>
      <c r="P389">
        <v>6</v>
      </c>
      <c r="Q389">
        <v>56</v>
      </c>
      <c r="R389" s="8">
        <v>45121</v>
      </c>
      <c r="S389" t="s">
        <v>1691</v>
      </c>
      <c r="T389" s="34">
        <f t="shared" si="48"/>
        <v>5</v>
      </c>
      <c r="U389" s="34">
        <f t="shared" si="49"/>
        <v>1454.56</v>
      </c>
      <c r="V389" s="34">
        <f t="shared" si="50"/>
        <v>1510.56</v>
      </c>
      <c r="W389" s="36">
        <f t="shared" si="55"/>
        <v>0</v>
      </c>
      <c r="X389" s="34">
        <f t="shared" si="51"/>
        <v>1510.56</v>
      </c>
      <c r="Y389" s="34" t="str">
        <f t="shared" si="52"/>
        <v>Lauren Crane</v>
      </c>
      <c r="Z389" s="34" t="str">
        <f t="shared" si="53"/>
        <v>BeforeTime</v>
      </c>
      <c r="AA389" s="34" t="str">
        <f t="shared" si="54"/>
        <v>yahoo.com</v>
      </c>
    </row>
    <row r="390" spans="1:27" ht="14.25" customHeight="1" x14ac:dyDescent="0.3">
      <c r="A390" t="s">
        <v>236</v>
      </c>
      <c r="B390" t="s">
        <v>66</v>
      </c>
      <c r="C390" t="s">
        <v>237</v>
      </c>
      <c r="D390">
        <v>52</v>
      </c>
      <c r="E390" t="s">
        <v>52</v>
      </c>
      <c r="F390" t="s">
        <v>42</v>
      </c>
      <c r="G390" t="s">
        <v>238</v>
      </c>
      <c r="H390" t="s">
        <v>239</v>
      </c>
      <c r="I390" t="s">
        <v>1692</v>
      </c>
      <c r="J390" s="8">
        <v>45397</v>
      </c>
      <c r="K390" t="s">
        <v>1693</v>
      </c>
      <c r="L390" t="s">
        <v>473</v>
      </c>
      <c r="M390">
        <v>286.07</v>
      </c>
      <c r="N390">
        <v>5</v>
      </c>
      <c r="O390" t="s">
        <v>63</v>
      </c>
      <c r="P390">
        <v>1</v>
      </c>
      <c r="Q390">
        <v>41</v>
      </c>
      <c r="R390" s="8">
        <v>45404</v>
      </c>
      <c r="S390" t="s">
        <v>1694</v>
      </c>
      <c r="T390" s="33">
        <f t="shared" si="48"/>
        <v>7</v>
      </c>
      <c r="U390" s="33">
        <f t="shared" si="49"/>
        <v>1430.35</v>
      </c>
      <c r="V390" s="33">
        <f t="shared" si="50"/>
        <v>1471.35</v>
      </c>
      <c r="W390" s="36">
        <f t="shared" si="55"/>
        <v>0</v>
      </c>
      <c r="X390" s="33">
        <f t="shared" si="51"/>
        <v>1471.35</v>
      </c>
      <c r="Y390" s="33" t="str">
        <f t="shared" si="52"/>
        <v>Angela Evans</v>
      </c>
      <c r="Z390" s="33" t="str">
        <f t="shared" si="53"/>
        <v>Late</v>
      </c>
      <c r="AA390" s="33" t="str">
        <f t="shared" si="54"/>
        <v>outlook.com</v>
      </c>
    </row>
    <row r="391" spans="1:27" ht="14.25" customHeight="1" x14ac:dyDescent="0.3">
      <c r="A391" t="s">
        <v>546</v>
      </c>
      <c r="B391" t="s">
        <v>547</v>
      </c>
      <c r="C391" t="s">
        <v>548</v>
      </c>
      <c r="D391">
        <v>33</v>
      </c>
      <c r="E391" t="s">
        <v>52</v>
      </c>
      <c r="F391" t="s">
        <v>168</v>
      </c>
      <c r="G391" t="s">
        <v>549</v>
      </c>
      <c r="H391" t="s">
        <v>550</v>
      </c>
      <c r="I391" t="s">
        <v>1695</v>
      </c>
      <c r="J391" s="8">
        <v>45302</v>
      </c>
      <c r="K391" t="s">
        <v>1696</v>
      </c>
      <c r="L391" t="s">
        <v>246</v>
      </c>
      <c r="M391">
        <v>282.63</v>
      </c>
      <c r="N391">
        <v>3</v>
      </c>
      <c r="O391" t="s">
        <v>63</v>
      </c>
      <c r="P391">
        <v>4</v>
      </c>
      <c r="Q391">
        <v>66</v>
      </c>
      <c r="R391" s="8">
        <v>45307</v>
      </c>
      <c r="S391" t="s">
        <v>744</v>
      </c>
      <c r="T391" s="34">
        <f t="shared" si="48"/>
        <v>5</v>
      </c>
      <c r="U391" s="34">
        <f t="shared" si="49"/>
        <v>847.89</v>
      </c>
      <c r="V391" s="34">
        <f t="shared" si="50"/>
        <v>913.89</v>
      </c>
      <c r="W391" s="36">
        <f t="shared" si="55"/>
        <v>0</v>
      </c>
      <c r="X391" s="34">
        <f t="shared" si="51"/>
        <v>913.89</v>
      </c>
      <c r="Y391" s="34" t="str">
        <f t="shared" si="52"/>
        <v>Jodi Whitney</v>
      </c>
      <c r="Z391" s="34" t="str">
        <f t="shared" si="53"/>
        <v>Late</v>
      </c>
      <c r="AA391" s="34" t="str">
        <f t="shared" si="54"/>
        <v>yahoo.com</v>
      </c>
    </row>
    <row r="392" spans="1:27" ht="14.25" customHeight="1" x14ac:dyDescent="0.3">
      <c r="A392" t="s">
        <v>1457</v>
      </c>
      <c r="B392" t="s">
        <v>273</v>
      </c>
      <c r="C392" t="s">
        <v>1458</v>
      </c>
      <c r="D392">
        <v>30</v>
      </c>
      <c r="E392" t="s">
        <v>29</v>
      </c>
      <c r="F392" t="s">
        <v>220</v>
      </c>
      <c r="G392" t="s">
        <v>1459</v>
      </c>
      <c r="H392" t="s">
        <v>1460</v>
      </c>
      <c r="I392" t="s">
        <v>1697</v>
      </c>
      <c r="J392" s="8">
        <v>45361</v>
      </c>
      <c r="K392" t="s">
        <v>1698</v>
      </c>
      <c r="L392" t="s">
        <v>344</v>
      </c>
      <c r="M392">
        <v>372.62</v>
      </c>
      <c r="N392">
        <v>5</v>
      </c>
      <c r="O392" t="s">
        <v>36</v>
      </c>
      <c r="P392">
        <v>4</v>
      </c>
      <c r="Q392">
        <v>66</v>
      </c>
      <c r="R392" s="8">
        <v>45364</v>
      </c>
      <c r="S392" t="s">
        <v>1699</v>
      </c>
      <c r="T392" s="33">
        <f t="shared" si="48"/>
        <v>3</v>
      </c>
      <c r="U392" s="33">
        <f t="shared" si="49"/>
        <v>1863.1</v>
      </c>
      <c r="V392" s="33">
        <f t="shared" si="50"/>
        <v>1929.1</v>
      </c>
      <c r="W392" s="36">
        <f t="shared" si="55"/>
        <v>0.08</v>
      </c>
      <c r="X392" s="33">
        <f t="shared" si="51"/>
        <v>1774.7719999999999</v>
      </c>
      <c r="Y392" s="33" t="str">
        <f t="shared" si="52"/>
        <v>Lauren Lane</v>
      </c>
      <c r="Z392" s="33" t="str">
        <f t="shared" si="53"/>
        <v>BeforeTime</v>
      </c>
      <c r="AA392" s="33" t="str">
        <f t="shared" si="54"/>
        <v>gmail.com</v>
      </c>
    </row>
    <row r="393" spans="1:27" ht="14.25" customHeight="1" x14ac:dyDescent="0.3">
      <c r="A393" t="s">
        <v>175</v>
      </c>
      <c r="B393" t="s">
        <v>176</v>
      </c>
      <c r="C393" t="s">
        <v>177</v>
      </c>
      <c r="D393">
        <v>36</v>
      </c>
      <c r="E393" t="s">
        <v>52</v>
      </c>
      <c r="F393" t="s">
        <v>140</v>
      </c>
      <c r="G393" t="s">
        <v>178</v>
      </c>
      <c r="H393" t="s">
        <v>179</v>
      </c>
      <c r="I393" t="s">
        <v>1700</v>
      </c>
      <c r="J393" s="8">
        <v>45091</v>
      </c>
      <c r="K393" t="s">
        <v>1701</v>
      </c>
      <c r="L393" t="s">
        <v>686</v>
      </c>
      <c r="M393">
        <v>424.82</v>
      </c>
      <c r="N393">
        <v>4</v>
      </c>
      <c r="O393" t="s">
        <v>96</v>
      </c>
      <c r="P393">
        <v>5</v>
      </c>
      <c r="Q393">
        <v>58</v>
      </c>
      <c r="R393" s="8">
        <v>45098</v>
      </c>
      <c r="S393" t="s">
        <v>1702</v>
      </c>
      <c r="T393" s="34">
        <f t="shared" si="48"/>
        <v>7</v>
      </c>
      <c r="U393" s="34">
        <f t="shared" si="49"/>
        <v>1699.28</v>
      </c>
      <c r="V393" s="34">
        <f t="shared" si="50"/>
        <v>1757.28</v>
      </c>
      <c r="W393" s="36">
        <f t="shared" si="55"/>
        <v>0.1</v>
      </c>
      <c r="X393" s="34">
        <f t="shared" si="51"/>
        <v>1581.5519999999999</v>
      </c>
      <c r="Y393" s="34" t="str">
        <f t="shared" si="52"/>
        <v>Gina Moreno</v>
      </c>
      <c r="Z393" s="34" t="str">
        <f t="shared" si="53"/>
        <v>Late</v>
      </c>
      <c r="AA393" s="34" t="str">
        <f t="shared" si="54"/>
        <v>rediffmail.com</v>
      </c>
    </row>
    <row r="394" spans="1:27" ht="14.25" customHeight="1" x14ac:dyDescent="0.3">
      <c r="A394" t="s">
        <v>401</v>
      </c>
      <c r="B394" t="s">
        <v>402</v>
      </c>
      <c r="C394" t="s">
        <v>403</v>
      </c>
      <c r="D394">
        <v>70</v>
      </c>
      <c r="E394" t="s">
        <v>29</v>
      </c>
      <c r="F394" t="s">
        <v>30</v>
      </c>
      <c r="G394" t="s">
        <v>404</v>
      </c>
      <c r="H394" t="s">
        <v>405</v>
      </c>
      <c r="I394" t="s">
        <v>1703</v>
      </c>
      <c r="J394" s="8">
        <v>45172</v>
      </c>
      <c r="K394" t="s">
        <v>1704</v>
      </c>
      <c r="L394" t="s">
        <v>495</v>
      </c>
      <c r="M394">
        <v>421.7</v>
      </c>
      <c r="N394">
        <v>3</v>
      </c>
      <c r="O394" t="s">
        <v>63</v>
      </c>
      <c r="P394">
        <v>3</v>
      </c>
      <c r="Q394">
        <v>56</v>
      </c>
      <c r="R394" s="8">
        <v>45177</v>
      </c>
      <c r="S394" t="s">
        <v>1705</v>
      </c>
      <c r="T394" s="33">
        <f t="shared" si="48"/>
        <v>5</v>
      </c>
      <c r="U394" s="33">
        <f t="shared" si="49"/>
        <v>1265.0999999999999</v>
      </c>
      <c r="V394" s="33">
        <f t="shared" si="50"/>
        <v>1321.1</v>
      </c>
      <c r="W394" s="36">
        <f t="shared" si="55"/>
        <v>0</v>
      </c>
      <c r="X394" s="33">
        <f t="shared" si="51"/>
        <v>1321.1</v>
      </c>
      <c r="Y394" s="33" t="str">
        <f t="shared" si="52"/>
        <v>Alexandra Smith</v>
      </c>
      <c r="Z394" s="33" t="str">
        <f t="shared" si="53"/>
        <v>Late</v>
      </c>
      <c r="AA394" s="33" t="str">
        <f t="shared" si="54"/>
        <v>rediffmail.com</v>
      </c>
    </row>
    <row r="395" spans="1:27" ht="14.25" customHeight="1" x14ac:dyDescent="0.3">
      <c r="A395" t="s">
        <v>716</v>
      </c>
      <c r="B395" t="s">
        <v>717</v>
      </c>
      <c r="C395" t="s">
        <v>718</v>
      </c>
      <c r="D395">
        <v>32</v>
      </c>
      <c r="E395" t="s">
        <v>41</v>
      </c>
      <c r="F395" t="s">
        <v>30</v>
      </c>
      <c r="G395" t="s">
        <v>719</v>
      </c>
      <c r="H395" t="s">
        <v>720</v>
      </c>
      <c r="I395" t="s">
        <v>1706</v>
      </c>
      <c r="J395" s="8">
        <v>45343</v>
      </c>
      <c r="K395" t="s">
        <v>1707</v>
      </c>
      <c r="L395" t="s">
        <v>871</v>
      </c>
      <c r="M395">
        <v>292.14999999999998</v>
      </c>
      <c r="N395">
        <v>2</v>
      </c>
      <c r="O395" t="s">
        <v>58</v>
      </c>
      <c r="P395">
        <v>6</v>
      </c>
      <c r="Q395">
        <v>60</v>
      </c>
      <c r="R395" s="8">
        <v>45348</v>
      </c>
      <c r="S395" t="s">
        <v>1708</v>
      </c>
      <c r="T395" s="34">
        <f t="shared" si="48"/>
        <v>5</v>
      </c>
      <c r="U395" s="34">
        <f t="shared" si="49"/>
        <v>584.29999999999995</v>
      </c>
      <c r="V395" s="34">
        <f t="shared" si="50"/>
        <v>644.29999999999995</v>
      </c>
      <c r="W395" s="36">
        <f t="shared" si="55"/>
        <v>0.15</v>
      </c>
      <c r="X395" s="34">
        <f t="shared" si="51"/>
        <v>547.65499999999997</v>
      </c>
      <c r="Y395" s="34" t="str">
        <f t="shared" si="52"/>
        <v>Bruce Allen</v>
      </c>
      <c r="Z395" s="34" t="str">
        <f t="shared" si="53"/>
        <v>BeforeTime</v>
      </c>
      <c r="AA395" s="34" t="str">
        <f t="shared" si="54"/>
        <v>rediffmail.com</v>
      </c>
    </row>
    <row r="396" spans="1:27" ht="14.25" customHeight="1" x14ac:dyDescent="0.3">
      <c r="A396" t="s">
        <v>217</v>
      </c>
      <c r="B396" t="s">
        <v>218</v>
      </c>
      <c r="C396" t="s">
        <v>219</v>
      </c>
      <c r="D396">
        <v>33</v>
      </c>
      <c r="E396" t="s">
        <v>52</v>
      </c>
      <c r="F396" t="s">
        <v>220</v>
      </c>
      <c r="G396" t="s">
        <v>221</v>
      </c>
      <c r="H396" t="s">
        <v>222</v>
      </c>
      <c r="I396" t="s">
        <v>1709</v>
      </c>
      <c r="J396" s="8">
        <v>45657</v>
      </c>
      <c r="K396" t="s">
        <v>1710</v>
      </c>
      <c r="L396" t="s">
        <v>344</v>
      </c>
      <c r="M396">
        <v>372.62</v>
      </c>
      <c r="N396">
        <v>1</v>
      </c>
      <c r="O396" t="s">
        <v>58</v>
      </c>
      <c r="P396">
        <v>5</v>
      </c>
      <c r="Q396">
        <v>50</v>
      </c>
      <c r="R396" s="8">
        <v>45661</v>
      </c>
      <c r="S396" t="s">
        <v>1711</v>
      </c>
      <c r="T396" s="33">
        <f t="shared" si="48"/>
        <v>4</v>
      </c>
      <c r="U396" s="33">
        <f t="shared" si="49"/>
        <v>372.62</v>
      </c>
      <c r="V396" s="33">
        <f t="shared" si="50"/>
        <v>422.62</v>
      </c>
      <c r="W396" s="36">
        <f t="shared" si="55"/>
        <v>0.15</v>
      </c>
      <c r="X396" s="33">
        <f t="shared" si="51"/>
        <v>359.22699999999998</v>
      </c>
      <c r="Y396" s="33" t="str">
        <f t="shared" si="52"/>
        <v>Mark Henderson</v>
      </c>
      <c r="Z396" s="33" t="str">
        <f t="shared" si="53"/>
        <v>BeforeTime</v>
      </c>
      <c r="AA396" s="33" t="str">
        <f t="shared" si="54"/>
        <v>yahoo.com</v>
      </c>
    </row>
    <row r="397" spans="1:27" ht="14.25" customHeight="1" x14ac:dyDescent="0.3">
      <c r="A397" t="s">
        <v>1614</v>
      </c>
      <c r="B397" t="s">
        <v>273</v>
      </c>
      <c r="C397" t="s">
        <v>1615</v>
      </c>
      <c r="D397">
        <v>62</v>
      </c>
      <c r="E397" t="s">
        <v>41</v>
      </c>
      <c r="F397" t="s">
        <v>42</v>
      </c>
      <c r="G397" t="s">
        <v>1616</v>
      </c>
      <c r="H397" t="s">
        <v>1617</v>
      </c>
      <c r="I397" t="s">
        <v>1712</v>
      </c>
      <c r="J397" s="8">
        <v>45340</v>
      </c>
      <c r="K397" t="s">
        <v>1713</v>
      </c>
      <c r="L397" t="s">
        <v>114</v>
      </c>
      <c r="M397">
        <v>48.45</v>
      </c>
      <c r="N397">
        <v>3</v>
      </c>
      <c r="O397" t="s">
        <v>58</v>
      </c>
      <c r="P397">
        <v>5</v>
      </c>
      <c r="Q397">
        <v>42</v>
      </c>
      <c r="R397" s="8">
        <v>45347</v>
      </c>
      <c r="S397" t="s">
        <v>1714</v>
      </c>
      <c r="T397" s="34">
        <f t="shared" si="48"/>
        <v>7</v>
      </c>
      <c r="U397" s="34">
        <f t="shared" si="49"/>
        <v>145.35000000000002</v>
      </c>
      <c r="V397" s="34">
        <f t="shared" si="50"/>
        <v>187.35000000000002</v>
      </c>
      <c r="W397" s="36">
        <f t="shared" si="55"/>
        <v>0.15</v>
      </c>
      <c r="X397" s="34">
        <f t="shared" si="51"/>
        <v>159.2475</v>
      </c>
      <c r="Y397" s="34" t="str">
        <f t="shared" si="52"/>
        <v>Lauren Crane</v>
      </c>
      <c r="Z397" s="34" t="str">
        <f t="shared" si="53"/>
        <v>Late</v>
      </c>
      <c r="AA397" s="34" t="str">
        <f t="shared" si="54"/>
        <v>yahoo.com</v>
      </c>
    </row>
    <row r="398" spans="1:27" ht="14.25" customHeight="1" x14ac:dyDescent="0.3">
      <c r="A398" t="s">
        <v>671</v>
      </c>
      <c r="B398" t="s">
        <v>672</v>
      </c>
      <c r="C398" t="s">
        <v>673</v>
      </c>
      <c r="D398">
        <v>38</v>
      </c>
      <c r="E398" t="s">
        <v>41</v>
      </c>
      <c r="F398" t="s">
        <v>220</v>
      </c>
      <c r="G398" t="s">
        <v>674</v>
      </c>
      <c r="H398" t="s">
        <v>675</v>
      </c>
      <c r="I398" t="s">
        <v>1715</v>
      </c>
      <c r="J398" s="8">
        <v>45312</v>
      </c>
      <c r="K398" t="s">
        <v>1716</v>
      </c>
      <c r="L398" t="s">
        <v>145</v>
      </c>
      <c r="M398">
        <v>190.1</v>
      </c>
      <c r="N398">
        <v>3</v>
      </c>
      <c r="O398" t="s">
        <v>96</v>
      </c>
      <c r="P398">
        <v>3</v>
      </c>
      <c r="Q398">
        <v>41</v>
      </c>
      <c r="R398" s="8">
        <v>45315</v>
      </c>
      <c r="S398" t="s">
        <v>1717</v>
      </c>
      <c r="T398" s="33">
        <f t="shared" si="48"/>
        <v>3</v>
      </c>
      <c r="U398" s="33">
        <f t="shared" si="49"/>
        <v>570.29999999999995</v>
      </c>
      <c r="V398" s="33">
        <f t="shared" si="50"/>
        <v>611.29999999999995</v>
      </c>
      <c r="W398" s="36">
        <f t="shared" si="55"/>
        <v>0.1</v>
      </c>
      <c r="X398" s="33">
        <f t="shared" si="51"/>
        <v>550.16999999999996</v>
      </c>
      <c r="Y398" s="33" t="str">
        <f t="shared" si="52"/>
        <v>Christy Chang</v>
      </c>
      <c r="Z398" s="33" t="str">
        <f t="shared" si="53"/>
        <v>Intime</v>
      </c>
      <c r="AA398" s="33" t="str">
        <f t="shared" si="54"/>
        <v>outlook.com</v>
      </c>
    </row>
    <row r="399" spans="1:27" ht="14.25" customHeight="1" x14ac:dyDescent="0.3">
      <c r="A399" t="s">
        <v>1614</v>
      </c>
      <c r="B399" t="s">
        <v>273</v>
      </c>
      <c r="C399" t="s">
        <v>1615</v>
      </c>
      <c r="D399">
        <v>62</v>
      </c>
      <c r="E399" t="s">
        <v>41</v>
      </c>
      <c r="F399" t="s">
        <v>42</v>
      </c>
      <c r="G399" t="s">
        <v>1616</v>
      </c>
      <c r="H399" t="s">
        <v>1617</v>
      </c>
      <c r="I399" t="s">
        <v>1718</v>
      </c>
      <c r="J399" s="8">
        <v>45344</v>
      </c>
      <c r="K399" t="s">
        <v>1719</v>
      </c>
      <c r="L399" t="s">
        <v>225</v>
      </c>
      <c r="M399">
        <v>461.07</v>
      </c>
      <c r="N399">
        <v>4</v>
      </c>
      <c r="O399" t="s">
        <v>58</v>
      </c>
      <c r="P399">
        <v>1</v>
      </c>
      <c r="Q399">
        <v>66</v>
      </c>
      <c r="R399" s="8">
        <v>45346</v>
      </c>
      <c r="S399" t="s">
        <v>1720</v>
      </c>
      <c r="T399" s="34">
        <f t="shared" si="48"/>
        <v>2</v>
      </c>
      <c r="U399" s="34">
        <f t="shared" si="49"/>
        <v>1844.28</v>
      </c>
      <c r="V399" s="34">
        <f t="shared" si="50"/>
        <v>1910.28</v>
      </c>
      <c r="W399" s="36">
        <f t="shared" si="55"/>
        <v>0.15</v>
      </c>
      <c r="X399" s="34">
        <f t="shared" si="51"/>
        <v>1623.7379999999998</v>
      </c>
      <c r="Y399" s="34" t="str">
        <f t="shared" si="52"/>
        <v>Lauren Crane</v>
      </c>
      <c r="Z399" s="34" t="str">
        <f t="shared" si="53"/>
        <v>Late</v>
      </c>
      <c r="AA399" s="34" t="str">
        <f t="shared" si="54"/>
        <v>yahoo.com</v>
      </c>
    </row>
    <row r="400" spans="1:27" ht="14.25" customHeight="1" x14ac:dyDescent="0.3">
      <c r="A400" t="s">
        <v>325</v>
      </c>
      <c r="B400" t="s">
        <v>326</v>
      </c>
      <c r="C400" t="s">
        <v>327</v>
      </c>
      <c r="D400">
        <v>29</v>
      </c>
      <c r="E400" t="s">
        <v>52</v>
      </c>
      <c r="F400" t="s">
        <v>90</v>
      </c>
      <c r="G400" t="s">
        <v>328</v>
      </c>
      <c r="H400" t="s">
        <v>329</v>
      </c>
      <c r="I400" t="s">
        <v>1721</v>
      </c>
      <c r="J400" s="8">
        <v>45295</v>
      </c>
      <c r="K400" t="s">
        <v>1722</v>
      </c>
      <c r="L400" t="s">
        <v>287</v>
      </c>
      <c r="M400">
        <v>157.63999999999999</v>
      </c>
      <c r="N400">
        <v>5</v>
      </c>
      <c r="O400" t="s">
        <v>36</v>
      </c>
      <c r="P400">
        <v>2</v>
      </c>
      <c r="Q400">
        <v>46</v>
      </c>
      <c r="R400" s="8">
        <v>45301</v>
      </c>
      <c r="S400" t="s">
        <v>1723</v>
      </c>
      <c r="T400" s="33">
        <f t="shared" si="48"/>
        <v>6</v>
      </c>
      <c r="U400" s="33">
        <f t="shared" si="49"/>
        <v>788.19999999999993</v>
      </c>
      <c r="V400" s="33">
        <f t="shared" si="50"/>
        <v>834.19999999999993</v>
      </c>
      <c r="W400" s="36">
        <f t="shared" si="55"/>
        <v>0.08</v>
      </c>
      <c r="X400" s="33">
        <f t="shared" si="51"/>
        <v>767.46399999999994</v>
      </c>
      <c r="Y400" s="33" t="str">
        <f t="shared" si="52"/>
        <v>Courtney Parker</v>
      </c>
      <c r="Z400" s="33" t="str">
        <f t="shared" si="53"/>
        <v>Late</v>
      </c>
      <c r="AA400" s="33" t="str">
        <f t="shared" si="54"/>
        <v>yahoo.com</v>
      </c>
    </row>
    <row r="401" spans="1:27" ht="14.25" customHeight="1" x14ac:dyDescent="0.3">
      <c r="A401" t="s">
        <v>201</v>
      </c>
      <c r="B401" t="s">
        <v>202</v>
      </c>
      <c r="C401" t="s">
        <v>203</v>
      </c>
      <c r="D401">
        <v>23</v>
      </c>
      <c r="E401" t="s">
        <v>29</v>
      </c>
      <c r="F401" t="s">
        <v>90</v>
      </c>
      <c r="G401" t="s">
        <v>204</v>
      </c>
      <c r="H401" t="s">
        <v>205</v>
      </c>
      <c r="I401" t="s">
        <v>1724</v>
      </c>
      <c r="J401" s="8">
        <v>45477</v>
      </c>
      <c r="K401" t="s">
        <v>1725</v>
      </c>
      <c r="L401" t="s">
        <v>637</v>
      </c>
      <c r="M401">
        <v>445.81</v>
      </c>
      <c r="N401">
        <v>3</v>
      </c>
      <c r="O401" t="s">
        <v>36</v>
      </c>
      <c r="P401">
        <v>1</v>
      </c>
      <c r="Q401">
        <v>37</v>
      </c>
      <c r="R401" s="8">
        <v>45478</v>
      </c>
      <c r="S401" t="s">
        <v>1726</v>
      </c>
      <c r="T401" s="34">
        <f t="shared" si="48"/>
        <v>1</v>
      </c>
      <c r="U401" s="34">
        <f t="shared" si="49"/>
        <v>1337.43</v>
      </c>
      <c r="V401" s="34">
        <f t="shared" si="50"/>
        <v>1374.43</v>
      </c>
      <c r="W401" s="36">
        <f t="shared" si="55"/>
        <v>0.08</v>
      </c>
      <c r="X401" s="34">
        <f t="shared" si="51"/>
        <v>1264.4756000000002</v>
      </c>
      <c r="Y401" s="34" t="str">
        <f t="shared" si="52"/>
        <v>Deborah Bates</v>
      </c>
      <c r="Z401" s="34" t="str">
        <f t="shared" si="53"/>
        <v>Intime</v>
      </c>
      <c r="AA401" s="34" t="str">
        <f t="shared" si="54"/>
        <v>yahoo.com</v>
      </c>
    </row>
    <row r="402" spans="1:27" ht="14.25" customHeight="1" x14ac:dyDescent="0.3">
      <c r="A402" t="s">
        <v>1727</v>
      </c>
      <c r="B402" t="s">
        <v>1728</v>
      </c>
      <c r="C402" t="s">
        <v>368</v>
      </c>
      <c r="D402">
        <v>34</v>
      </c>
      <c r="E402" t="s">
        <v>52</v>
      </c>
      <c r="F402" t="s">
        <v>159</v>
      </c>
      <c r="G402" t="s">
        <v>1729</v>
      </c>
      <c r="H402" t="s">
        <v>1730</v>
      </c>
      <c r="I402" t="s">
        <v>1731</v>
      </c>
      <c r="J402" s="8">
        <v>45646</v>
      </c>
      <c r="K402" t="s">
        <v>1732</v>
      </c>
      <c r="L402" t="s">
        <v>323</v>
      </c>
      <c r="M402">
        <v>481.48</v>
      </c>
      <c r="N402">
        <v>4</v>
      </c>
      <c r="O402" t="s">
        <v>58</v>
      </c>
      <c r="P402">
        <v>4</v>
      </c>
      <c r="Q402">
        <v>38</v>
      </c>
      <c r="R402" s="8">
        <v>45647</v>
      </c>
      <c r="S402" t="s">
        <v>1733</v>
      </c>
      <c r="T402" s="33">
        <f t="shared" si="48"/>
        <v>1</v>
      </c>
      <c r="U402" s="33">
        <f t="shared" si="49"/>
        <v>1925.92</v>
      </c>
      <c r="V402" s="33">
        <f t="shared" si="50"/>
        <v>1963.92</v>
      </c>
      <c r="W402" s="36">
        <f t="shared" si="55"/>
        <v>0.15</v>
      </c>
      <c r="X402" s="33">
        <f t="shared" si="51"/>
        <v>1669.3320000000001</v>
      </c>
      <c r="Y402" s="33" t="str">
        <f t="shared" si="52"/>
        <v>Katie Hicks</v>
      </c>
      <c r="Z402" s="33" t="str">
        <f t="shared" si="53"/>
        <v>BeforeTime</v>
      </c>
      <c r="AA402" s="33" t="str">
        <f t="shared" si="54"/>
        <v>rediffmail.com</v>
      </c>
    </row>
    <row r="403" spans="1:27" ht="14.25" customHeight="1" x14ac:dyDescent="0.3">
      <c r="A403" t="s">
        <v>393</v>
      </c>
      <c r="B403" t="s">
        <v>394</v>
      </c>
      <c r="C403" t="s">
        <v>395</v>
      </c>
      <c r="D403">
        <v>40</v>
      </c>
      <c r="E403" t="s">
        <v>52</v>
      </c>
      <c r="F403" t="s">
        <v>168</v>
      </c>
      <c r="G403" t="s">
        <v>396</v>
      </c>
      <c r="H403" t="s">
        <v>397</v>
      </c>
      <c r="I403" t="s">
        <v>1734</v>
      </c>
      <c r="J403" s="8">
        <v>45033</v>
      </c>
      <c r="K403" t="s">
        <v>1735</v>
      </c>
      <c r="L403" t="s">
        <v>563</v>
      </c>
      <c r="M403">
        <v>133.62</v>
      </c>
      <c r="N403">
        <v>1</v>
      </c>
      <c r="O403" t="s">
        <v>58</v>
      </c>
      <c r="P403">
        <v>5</v>
      </c>
      <c r="Q403">
        <v>66</v>
      </c>
      <c r="R403" s="8">
        <v>45037</v>
      </c>
      <c r="S403" t="s">
        <v>1736</v>
      </c>
      <c r="T403" s="34">
        <f t="shared" si="48"/>
        <v>4</v>
      </c>
      <c r="U403" s="34">
        <f t="shared" si="49"/>
        <v>133.62</v>
      </c>
      <c r="V403" s="34">
        <f t="shared" si="50"/>
        <v>199.62</v>
      </c>
      <c r="W403" s="36">
        <f t="shared" si="55"/>
        <v>0.15</v>
      </c>
      <c r="X403" s="34">
        <f t="shared" si="51"/>
        <v>169.67699999999999</v>
      </c>
      <c r="Y403" s="34" t="str">
        <f t="shared" si="52"/>
        <v>Jason Lopez</v>
      </c>
      <c r="Z403" s="34" t="str">
        <f t="shared" si="53"/>
        <v>BeforeTime</v>
      </c>
      <c r="AA403" s="34" t="str">
        <f t="shared" si="54"/>
        <v>outlook.com</v>
      </c>
    </row>
    <row r="404" spans="1:27" ht="14.25" customHeight="1" x14ac:dyDescent="0.3">
      <c r="A404" t="s">
        <v>1737</v>
      </c>
      <c r="B404" t="s">
        <v>1738</v>
      </c>
      <c r="C404" t="s">
        <v>1739</v>
      </c>
      <c r="D404">
        <v>47</v>
      </c>
      <c r="E404" t="s">
        <v>41</v>
      </c>
      <c r="F404" t="s">
        <v>30</v>
      </c>
      <c r="G404" t="s">
        <v>1740</v>
      </c>
      <c r="H404" t="s">
        <v>1741</v>
      </c>
      <c r="I404" t="s">
        <v>1742</v>
      </c>
      <c r="J404" s="8">
        <v>45327</v>
      </c>
      <c r="K404" t="s">
        <v>1743</v>
      </c>
      <c r="L404" t="s">
        <v>553</v>
      </c>
      <c r="M404">
        <v>425.59</v>
      </c>
      <c r="N404">
        <v>3</v>
      </c>
      <c r="O404" t="s">
        <v>96</v>
      </c>
      <c r="P404">
        <v>7</v>
      </c>
      <c r="Q404">
        <v>51</v>
      </c>
      <c r="R404" s="8">
        <v>45330</v>
      </c>
      <c r="S404" t="s">
        <v>1744</v>
      </c>
      <c r="T404" s="33">
        <f t="shared" si="48"/>
        <v>3</v>
      </c>
      <c r="U404" s="33">
        <f t="shared" si="49"/>
        <v>1276.77</v>
      </c>
      <c r="V404" s="33">
        <f t="shared" si="50"/>
        <v>1327.77</v>
      </c>
      <c r="W404" s="36">
        <f t="shared" si="55"/>
        <v>0.1</v>
      </c>
      <c r="X404" s="33">
        <f t="shared" si="51"/>
        <v>1194.9929999999999</v>
      </c>
      <c r="Y404" s="33" t="str">
        <f t="shared" si="52"/>
        <v>Regina Hawkins</v>
      </c>
      <c r="Z404" s="33" t="str">
        <f t="shared" si="53"/>
        <v>BeforeTime</v>
      </c>
      <c r="AA404" s="33" t="str">
        <f t="shared" si="54"/>
        <v>rediffmail.com</v>
      </c>
    </row>
    <row r="405" spans="1:27" ht="14.25" customHeight="1" x14ac:dyDescent="0.3">
      <c r="A405" t="s">
        <v>1614</v>
      </c>
      <c r="B405" t="s">
        <v>273</v>
      </c>
      <c r="C405" t="s">
        <v>1615</v>
      </c>
      <c r="D405">
        <v>62</v>
      </c>
      <c r="E405" t="s">
        <v>41</v>
      </c>
      <c r="F405" t="s">
        <v>42</v>
      </c>
      <c r="G405" t="s">
        <v>1616</v>
      </c>
      <c r="H405" t="s">
        <v>1617</v>
      </c>
      <c r="I405" t="s">
        <v>1745</v>
      </c>
      <c r="J405" s="8">
        <v>45517</v>
      </c>
      <c r="K405" t="s">
        <v>1746</v>
      </c>
      <c r="L405" t="s">
        <v>573</v>
      </c>
      <c r="M405">
        <v>477.52</v>
      </c>
      <c r="N405">
        <v>5</v>
      </c>
      <c r="O405" t="s">
        <v>85</v>
      </c>
      <c r="P405">
        <v>2</v>
      </c>
      <c r="Q405">
        <v>60</v>
      </c>
      <c r="R405" s="8">
        <v>45520</v>
      </c>
      <c r="S405" t="s">
        <v>1747</v>
      </c>
      <c r="T405" s="34">
        <f t="shared" si="48"/>
        <v>3</v>
      </c>
      <c r="U405" s="34">
        <f t="shared" si="49"/>
        <v>2387.6</v>
      </c>
      <c r="V405" s="34">
        <f t="shared" si="50"/>
        <v>2447.6</v>
      </c>
      <c r="W405" s="36">
        <f t="shared" si="55"/>
        <v>0.2</v>
      </c>
      <c r="X405" s="34">
        <f t="shared" si="51"/>
        <v>1958.08</v>
      </c>
      <c r="Y405" s="34" t="str">
        <f t="shared" si="52"/>
        <v>Lauren Crane</v>
      </c>
      <c r="Z405" s="34" t="str">
        <f t="shared" si="53"/>
        <v>Late</v>
      </c>
      <c r="AA405" s="34" t="str">
        <f t="shared" si="54"/>
        <v>yahoo.com</v>
      </c>
    </row>
    <row r="406" spans="1:27" ht="14.25" customHeight="1" x14ac:dyDescent="0.3">
      <c r="A406" t="s">
        <v>420</v>
      </c>
      <c r="B406" t="s">
        <v>421</v>
      </c>
      <c r="C406" t="s">
        <v>422</v>
      </c>
      <c r="D406">
        <v>52</v>
      </c>
      <c r="E406" t="s">
        <v>52</v>
      </c>
      <c r="F406" t="s">
        <v>220</v>
      </c>
      <c r="G406" t="s">
        <v>423</v>
      </c>
      <c r="H406" t="s">
        <v>424</v>
      </c>
      <c r="I406" t="s">
        <v>1748</v>
      </c>
      <c r="J406" s="8">
        <v>45471</v>
      </c>
      <c r="K406" t="s">
        <v>1749</v>
      </c>
      <c r="L406" t="s">
        <v>246</v>
      </c>
      <c r="M406">
        <v>282.63</v>
      </c>
      <c r="N406">
        <v>3</v>
      </c>
      <c r="O406" t="s">
        <v>36</v>
      </c>
      <c r="P406">
        <v>3</v>
      </c>
      <c r="Q406">
        <v>36</v>
      </c>
      <c r="R406" s="8">
        <v>45478</v>
      </c>
      <c r="S406" t="s">
        <v>1750</v>
      </c>
      <c r="T406" s="33">
        <f t="shared" si="48"/>
        <v>7</v>
      </c>
      <c r="U406" s="33">
        <f t="shared" si="49"/>
        <v>847.89</v>
      </c>
      <c r="V406" s="33">
        <f t="shared" si="50"/>
        <v>883.89</v>
      </c>
      <c r="W406" s="36">
        <f t="shared" si="55"/>
        <v>0.08</v>
      </c>
      <c r="X406" s="33">
        <f t="shared" si="51"/>
        <v>813.17880000000002</v>
      </c>
      <c r="Y406" s="33" t="str">
        <f t="shared" si="52"/>
        <v>Amanda Howard</v>
      </c>
      <c r="Z406" s="33" t="str">
        <f t="shared" si="53"/>
        <v>Late</v>
      </c>
      <c r="AA406" s="33" t="str">
        <f t="shared" si="54"/>
        <v>outlook.com</v>
      </c>
    </row>
    <row r="407" spans="1:27" ht="14.25" customHeight="1" x14ac:dyDescent="0.3">
      <c r="A407" t="s">
        <v>435</v>
      </c>
      <c r="B407" t="s">
        <v>436</v>
      </c>
      <c r="C407" t="s">
        <v>437</v>
      </c>
      <c r="D407">
        <v>28</v>
      </c>
      <c r="E407" t="s">
        <v>52</v>
      </c>
      <c r="F407" t="s">
        <v>76</v>
      </c>
      <c r="G407" t="s">
        <v>438</v>
      </c>
      <c r="H407" t="s">
        <v>439</v>
      </c>
      <c r="I407" t="s">
        <v>1751</v>
      </c>
      <c r="J407" s="8">
        <v>45350</v>
      </c>
      <c r="K407" t="s">
        <v>1752</v>
      </c>
      <c r="L407" t="s">
        <v>287</v>
      </c>
      <c r="M407">
        <v>157.63999999999999</v>
      </c>
      <c r="N407">
        <v>1</v>
      </c>
      <c r="O407" t="s">
        <v>85</v>
      </c>
      <c r="P407">
        <v>1</v>
      </c>
      <c r="Q407">
        <v>59</v>
      </c>
      <c r="R407" s="8">
        <v>45356</v>
      </c>
      <c r="S407" t="s">
        <v>1753</v>
      </c>
      <c r="T407" s="34">
        <f t="shared" si="48"/>
        <v>6</v>
      </c>
      <c r="U407" s="34">
        <f t="shared" si="49"/>
        <v>157.63999999999999</v>
      </c>
      <c r="V407" s="34">
        <f t="shared" si="50"/>
        <v>216.64</v>
      </c>
      <c r="W407" s="36">
        <f t="shared" si="55"/>
        <v>0.2</v>
      </c>
      <c r="X407" s="34">
        <f t="shared" si="51"/>
        <v>173.31200000000001</v>
      </c>
      <c r="Y407" s="34" t="str">
        <f t="shared" si="52"/>
        <v>Mary Knight</v>
      </c>
      <c r="Z407" s="34" t="str">
        <f t="shared" si="53"/>
        <v>Late</v>
      </c>
      <c r="AA407" s="34" t="str">
        <f t="shared" si="54"/>
        <v>yahoo.com</v>
      </c>
    </row>
    <row r="408" spans="1:27" ht="14.25" customHeight="1" x14ac:dyDescent="0.3">
      <c r="A408" t="s">
        <v>1727</v>
      </c>
      <c r="B408" t="s">
        <v>1728</v>
      </c>
      <c r="C408" t="s">
        <v>368</v>
      </c>
      <c r="D408">
        <v>34</v>
      </c>
      <c r="E408" t="s">
        <v>52</v>
      </c>
      <c r="F408" t="s">
        <v>159</v>
      </c>
      <c r="G408" t="s">
        <v>1729</v>
      </c>
      <c r="H408" t="s">
        <v>1730</v>
      </c>
      <c r="I408" t="s">
        <v>1754</v>
      </c>
      <c r="J408" s="8">
        <v>45449</v>
      </c>
      <c r="K408" t="s">
        <v>1755</v>
      </c>
      <c r="L408" t="s">
        <v>114</v>
      </c>
      <c r="M408">
        <v>48.45</v>
      </c>
      <c r="N408">
        <v>1</v>
      </c>
      <c r="O408" t="s">
        <v>96</v>
      </c>
      <c r="P408">
        <v>5</v>
      </c>
      <c r="Q408">
        <v>38</v>
      </c>
      <c r="R408" s="8">
        <v>45456</v>
      </c>
      <c r="S408" t="s">
        <v>1756</v>
      </c>
      <c r="T408" s="33">
        <f t="shared" si="48"/>
        <v>7</v>
      </c>
      <c r="U408" s="33">
        <f t="shared" si="49"/>
        <v>48.45</v>
      </c>
      <c r="V408" s="33">
        <f t="shared" si="50"/>
        <v>86.45</v>
      </c>
      <c r="W408" s="36">
        <f t="shared" si="55"/>
        <v>0.1</v>
      </c>
      <c r="X408" s="33">
        <f t="shared" si="51"/>
        <v>77.805000000000007</v>
      </c>
      <c r="Y408" s="33" t="str">
        <f t="shared" si="52"/>
        <v>Katie Hicks</v>
      </c>
      <c r="Z408" s="33" t="str">
        <f t="shared" si="53"/>
        <v>Late</v>
      </c>
      <c r="AA408" s="33" t="str">
        <f t="shared" si="54"/>
        <v>rediffmail.com</v>
      </c>
    </row>
    <row r="409" spans="1:27" ht="14.25" customHeight="1" x14ac:dyDescent="0.3">
      <c r="A409" t="s">
        <v>87</v>
      </c>
      <c r="B409" t="s">
        <v>88</v>
      </c>
      <c r="C409" t="s">
        <v>89</v>
      </c>
      <c r="D409">
        <v>26</v>
      </c>
      <c r="E409" t="s">
        <v>41</v>
      </c>
      <c r="F409" t="s">
        <v>90</v>
      </c>
      <c r="G409" t="s">
        <v>91</v>
      </c>
      <c r="H409" t="s">
        <v>92</v>
      </c>
      <c r="I409" t="s">
        <v>1757</v>
      </c>
      <c r="J409" s="8">
        <v>45359</v>
      </c>
      <c r="K409" t="s">
        <v>1758</v>
      </c>
      <c r="L409" t="s">
        <v>871</v>
      </c>
      <c r="M409">
        <v>292.14999999999998</v>
      </c>
      <c r="N409">
        <v>1</v>
      </c>
      <c r="O409" t="s">
        <v>85</v>
      </c>
      <c r="P409">
        <v>5</v>
      </c>
      <c r="Q409">
        <v>57</v>
      </c>
      <c r="R409" s="8">
        <v>45365</v>
      </c>
      <c r="S409" t="s">
        <v>1759</v>
      </c>
      <c r="T409" s="34">
        <f t="shared" si="48"/>
        <v>6</v>
      </c>
      <c r="U409" s="34">
        <f t="shared" si="49"/>
        <v>292.14999999999998</v>
      </c>
      <c r="V409" s="34">
        <f t="shared" si="50"/>
        <v>349.15</v>
      </c>
      <c r="W409" s="36">
        <f t="shared" si="55"/>
        <v>0.2</v>
      </c>
      <c r="X409" s="34">
        <f t="shared" si="51"/>
        <v>279.32</v>
      </c>
      <c r="Y409" s="34" t="str">
        <f t="shared" si="52"/>
        <v>David Delacruz</v>
      </c>
      <c r="Z409" s="34" t="str">
        <f t="shared" si="53"/>
        <v>Late</v>
      </c>
      <c r="AA409" s="34" t="str">
        <f t="shared" si="54"/>
        <v>rediffmail.com</v>
      </c>
    </row>
    <row r="410" spans="1:27" ht="14.25" customHeight="1" x14ac:dyDescent="0.3">
      <c r="A410" t="s">
        <v>1760</v>
      </c>
      <c r="B410" t="s">
        <v>1761</v>
      </c>
      <c r="C410" t="s">
        <v>395</v>
      </c>
      <c r="D410">
        <v>57</v>
      </c>
      <c r="E410" t="s">
        <v>41</v>
      </c>
      <c r="F410" t="s">
        <v>90</v>
      </c>
      <c r="G410" t="s">
        <v>1762</v>
      </c>
      <c r="H410" t="s">
        <v>1763</v>
      </c>
      <c r="I410" t="s">
        <v>1764</v>
      </c>
      <c r="J410" s="8">
        <v>45333</v>
      </c>
      <c r="K410" t="s">
        <v>1765</v>
      </c>
      <c r="L410" t="s">
        <v>774</v>
      </c>
      <c r="M410">
        <v>20</v>
      </c>
      <c r="N410">
        <v>4</v>
      </c>
      <c r="O410" t="s">
        <v>85</v>
      </c>
      <c r="P410">
        <v>1</v>
      </c>
      <c r="Q410">
        <v>51</v>
      </c>
      <c r="R410" s="8">
        <v>45334</v>
      </c>
      <c r="S410" t="s">
        <v>1766</v>
      </c>
      <c r="T410" s="33">
        <f t="shared" si="48"/>
        <v>1</v>
      </c>
      <c r="U410" s="33">
        <f t="shared" si="49"/>
        <v>80</v>
      </c>
      <c r="V410" s="33">
        <f t="shared" si="50"/>
        <v>131</v>
      </c>
      <c r="W410" s="36">
        <f t="shared" si="55"/>
        <v>0.2</v>
      </c>
      <c r="X410" s="33">
        <f t="shared" si="51"/>
        <v>104.80000000000001</v>
      </c>
      <c r="Y410" s="33" t="str">
        <f t="shared" si="52"/>
        <v>Rachel Lopez</v>
      </c>
      <c r="Z410" s="33" t="str">
        <f t="shared" si="53"/>
        <v>Intime</v>
      </c>
      <c r="AA410" s="33" t="str">
        <f t="shared" si="54"/>
        <v>outlook.com</v>
      </c>
    </row>
    <row r="411" spans="1:27" ht="14.25" customHeight="1" x14ac:dyDescent="0.3">
      <c r="A411" t="s">
        <v>894</v>
      </c>
      <c r="B411" t="s">
        <v>148</v>
      </c>
      <c r="C411" t="s">
        <v>895</v>
      </c>
      <c r="D411">
        <v>29</v>
      </c>
      <c r="E411" t="s">
        <v>29</v>
      </c>
      <c r="F411" t="s">
        <v>42</v>
      </c>
      <c r="G411" t="s">
        <v>896</v>
      </c>
      <c r="H411" t="s">
        <v>897</v>
      </c>
      <c r="I411" t="s">
        <v>1767</v>
      </c>
      <c r="J411" s="8">
        <v>45681</v>
      </c>
      <c r="K411" t="s">
        <v>1768</v>
      </c>
      <c r="L411" t="s">
        <v>114</v>
      </c>
      <c r="M411">
        <v>48.45</v>
      </c>
      <c r="N411">
        <v>2</v>
      </c>
      <c r="O411" t="s">
        <v>58</v>
      </c>
      <c r="P411">
        <v>7</v>
      </c>
      <c r="Q411">
        <v>56</v>
      </c>
      <c r="R411" s="8">
        <v>45687</v>
      </c>
      <c r="S411" t="s">
        <v>1769</v>
      </c>
      <c r="T411" s="34">
        <f t="shared" si="48"/>
        <v>6</v>
      </c>
      <c r="U411" s="34">
        <f t="shared" si="49"/>
        <v>96.9</v>
      </c>
      <c r="V411" s="34">
        <f t="shared" si="50"/>
        <v>152.9</v>
      </c>
      <c r="W411" s="36">
        <f t="shared" si="55"/>
        <v>0.15</v>
      </c>
      <c r="X411" s="34">
        <f t="shared" si="51"/>
        <v>129.965</v>
      </c>
      <c r="Y411" s="34" t="str">
        <f t="shared" si="52"/>
        <v>Amy Griffin</v>
      </c>
      <c r="Z411" s="34" t="str">
        <f t="shared" si="53"/>
        <v>BeforeTime</v>
      </c>
      <c r="AA411" s="34" t="str">
        <f t="shared" si="54"/>
        <v>rediffmail.com</v>
      </c>
    </row>
    <row r="412" spans="1:27" ht="14.25" customHeight="1" x14ac:dyDescent="0.3">
      <c r="A412" t="s">
        <v>646</v>
      </c>
      <c r="B412" t="s">
        <v>647</v>
      </c>
      <c r="C412" t="s">
        <v>648</v>
      </c>
      <c r="D412">
        <v>45</v>
      </c>
      <c r="E412" t="s">
        <v>52</v>
      </c>
      <c r="F412" t="s">
        <v>90</v>
      </c>
      <c r="G412" t="s">
        <v>649</v>
      </c>
      <c r="H412" t="s">
        <v>650</v>
      </c>
      <c r="I412" t="s">
        <v>1770</v>
      </c>
      <c r="J412" s="8">
        <v>45190</v>
      </c>
      <c r="K412" t="s">
        <v>1771</v>
      </c>
      <c r="L412" t="s">
        <v>242</v>
      </c>
      <c r="M412">
        <v>126.19</v>
      </c>
      <c r="N412">
        <v>2</v>
      </c>
      <c r="O412" t="s">
        <v>85</v>
      </c>
      <c r="P412">
        <v>4</v>
      </c>
      <c r="Q412">
        <v>67</v>
      </c>
      <c r="R412" s="8">
        <v>45196</v>
      </c>
      <c r="S412" t="s">
        <v>1772</v>
      </c>
      <c r="T412" s="33">
        <f t="shared" si="48"/>
        <v>6</v>
      </c>
      <c r="U412" s="33">
        <f t="shared" si="49"/>
        <v>252.38</v>
      </c>
      <c r="V412" s="33">
        <f t="shared" si="50"/>
        <v>319.38</v>
      </c>
      <c r="W412" s="36">
        <f t="shared" si="55"/>
        <v>0.2</v>
      </c>
      <c r="X412" s="33">
        <f t="shared" si="51"/>
        <v>255.50400000000002</v>
      </c>
      <c r="Y412" s="33" t="str">
        <f t="shared" si="52"/>
        <v>Beth Mason</v>
      </c>
      <c r="Z412" s="33" t="str">
        <f t="shared" si="53"/>
        <v>Late</v>
      </c>
      <c r="AA412" s="33" t="str">
        <f t="shared" si="54"/>
        <v>outlook.com</v>
      </c>
    </row>
    <row r="413" spans="1:27" ht="14.25" customHeight="1" x14ac:dyDescent="0.3">
      <c r="A413" t="s">
        <v>1457</v>
      </c>
      <c r="B413" t="s">
        <v>273</v>
      </c>
      <c r="C413" t="s">
        <v>1458</v>
      </c>
      <c r="D413">
        <v>30</v>
      </c>
      <c r="E413" t="s">
        <v>29</v>
      </c>
      <c r="F413" t="s">
        <v>220</v>
      </c>
      <c r="G413" t="s">
        <v>1459</v>
      </c>
      <c r="H413" t="s">
        <v>1460</v>
      </c>
      <c r="I413" t="s">
        <v>1773</v>
      </c>
      <c r="J413" s="8">
        <v>45393</v>
      </c>
      <c r="K413" t="s">
        <v>1774</v>
      </c>
      <c r="L413" t="s">
        <v>242</v>
      </c>
      <c r="M413">
        <v>126.19</v>
      </c>
      <c r="N413">
        <v>4</v>
      </c>
      <c r="O413" t="s">
        <v>36</v>
      </c>
      <c r="P413">
        <v>5</v>
      </c>
      <c r="Q413">
        <v>69</v>
      </c>
      <c r="R413" s="8">
        <v>45396</v>
      </c>
      <c r="S413" t="s">
        <v>1775</v>
      </c>
      <c r="T413" s="34">
        <f t="shared" si="48"/>
        <v>3</v>
      </c>
      <c r="U413" s="34">
        <f t="shared" si="49"/>
        <v>504.76</v>
      </c>
      <c r="V413" s="34">
        <f t="shared" si="50"/>
        <v>573.76</v>
      </c>
      <c r="W413" s="36">
        <f t="shared" si="55"/>
        <v>0.08</v>
      </c>
      <c r="X413" s="34">
        <f t="shared" si="51"/>
        <v>527.85919999999999</v>
      </c>
      <c r="Y413" s="34" t="str">
        <f t="shared" si="52"/>
        <v>Lauren Lane</v>
      </c>
      <c r="Z413" s="34" t="str">
        <f t="shared" si="53"/>
        <v>BeforeTime</v>
      </c>
      <c r="AA413" s="34" t="str">
        <f t="shared" si="54"/>
        <v>gmail.com</v>
      </c>
    </row>
    <row r="414" spans="1:27" ht="14.25" customHeight="1" x14ac:dyDescent="0.3">
      <c r="A414" t="s">
        <v>293</v>
      </c>
      <c r="B414" t="s">
        <v>294</v>
      </c>
      <c r="C414" t="s">
        <v>295</v>
      </c>
      <c r="D414">
        <v>48</v>
      </c>
      <c r="E414" t="s">
        <v>41</v>
      </c>
      <c r="F414" t="s">
        <v>90</v>
      </c>
      <c r="G414" t="s">
        <v>296</v>
      </c>
      <c r="H414" t="s">
        <v>297</v>
      </c>
      <c r="I414" t="s">
        <v>1776</v>
      </c>
      <c r="J414" s="8">
        <v>45399</v>
      </c>
      <c r="K414" t="s">
        <v>1777</v>
      </c>
      <c r="L414" t="s">
        <v>356</v>
      </c>
      <c r="M414">
        <v>496.59</v>
      </c>
      <c r="N414">
        <v>3</v>
      </c>
      <c r="O414" t="s">
        <v>63</v>
      </c>
      <c r="P414">
        <v>3</v>
      </c>
      <c r="Q414">
        <v>49</v>
      </c>
      <c r="R414" s="8">
        <v>45406</v>
      </c>
      <c r="S414" t="s">
        <v>1778</v>
      </c>
      <c r="T414" s="33">
        <f t="shared" si="48"/>
        <v>7</v>
      </c>
      <c r="U414" s="33">
        <f t="shared" si="49"/>
        <v>1489.77</v>
      </c>
      <c r="V414" s="33">
        <f t="shared" si="50"/>
        <v>1538.77</v>
      </c>
      <c r="W414" s="36">
        <f t="shared" si="55"/>
        <v>0</v>
      </c>
      <c r="X414" s="33">
        <f t="shared" si="51"/>
        <v>1538.77</v>
      </c>
      <c r="Y414" s="33" t="str">
        <f t="shared" si="52"/>
        <v>Heather Schneider</v>
      </c>
      <c r="Z414" s="33" t="str">
        <f t="shared" si="53"/>
        <v>Late</v>
      </c>
      <c r="AA414" s="33" t="str">
        <f t="shared" si="54"/>
        <v>outlook.com</v>
      </c>
    </row>
    <row r="415" spans="1:27" ht="14.25" customHeight="1" x14ac:dyDescent="0.3">
      <c r="A415" t="s">
        <v>349</v>
      </c>
      <c r="B415" t="s">
        <v>350</v>
      </c>
      <c r="C415" t="s">
        <v>351</v>
      </c>
      <c r="D415">
        <v>70</v>
      </c>
      <c r="E415" t="s">
        <v>29</v>
      </c>
      <c r="F415" t="s">
        <v>168</v>
      </c>
      <c r="G415" t="s">
        <v>352</v>
      </c>
      <c r="H415" t="s">
        <v>353</v>
      </c>
      <c r="I415" t="s">
        <v>1779</v>
      </c>
      <c r="J415" s="8">
        <v>45396</v>
      </c>
      <c r="K415" t="s">
        <v>1780</v>
      </c>
      <c r="L415" t="s">
        <v>686</v>
      </c>
      <c r="M415">
        <v>424.82</v>
      </c>
      <c r="N415">
        <v>4</v>
      </c>
      <c r="O415" t="s">
        <v>58</v>
      </c>
      <c r="P415">
        <v>1</v>
      </c>
      <c r="Q415">
        <v>70</v>
      </c>
      <c r="R415" s="8">
        <v>45402</v>
      </c>
      <c r="S415" t="s">
        <v>1781</v>
      </c>
      <c r="T415" s="34">
        <f t="shared" si="48"/>
        <v>6</v>
      </c>
      <c r="U415" s="34">
        <f t="shared" si="49"/>
        <v>1699.28</v>
      </c>
      <c r="V415" s="34">
        <f t="shared" si="50"/>
        <v>1769.28</v>
      </c>
      <c r="W415" s="36">
        <f t="shared" si="55"/>
        <v>0.15</v>
      </c>
      <c r="X415" s="34">
        <f t="shared" si="51"/>
        <v>1503.8879999999999</v>
      </c>
      <c r="Y415" s="34" t="str">
        <f t="shared" si="52"/>
        <v>Donna Oneill</v>
      </c>
      <c r="Z415" s="34" t="str">
        <f t="shared" si="53"/>
        <v>Late</v>
      </c>
      <c r="AA415" s="34" t="str">
        <f t="shared" si="54"/>
        <v>yahoo.com</v>
      </c>
    </row>
    <row r="416" spans="1:27" ht="14.25" customHeight="1" x14ac:dyDescent="0.3">
      <c r="A416" t="s">
        <v>175</v>
      </c>
      <c r="B416" t="s">
        <v>176</v>
      </c>
      <c r="C416" t="s">
        <v>177</v>
      </c>
      <c r="D416">
        <v>36</v>
      </c>
      <c r="E416" t="s">
        <v>52</v>
      </c>
      <c r="F416" t="s">
        <v>140</v>
      </c>
      <c r="G416" t="s">
        <v>178</v>
      </c>
      <c r="H416" t="s">
        <v>179</v>
      </c>
      <c r="I416" t="s">
        <v>1782</v>
      </c>
      <c r="J416" s="8">
        <v>45194</v>
      </c>
      <c r="K416" t="s">
        <v>1783</v>
      </c>
      <c r="L416" t="s">
        <v>774</v>
      </c>
      <c r="M416">
        <v>20</v>
      </c>
      <c r="N416">
        <v>2</v>
      </c>
      <c r="O416" t="s">
        <v>96</v>
      </c>
      <c r="P416">
        <v>1</v>
      </c>
      <c r="Q416">
        <v>68</v>
      </c>
      <c r="R416" s="8">
        <v>45195</v>
      </c>
      <c r="S416" t="s">
        <v>1784</v>
      </c>
      <c r="T416" s="33">
        <f t="shared" si="48"/>
        <v>1</v>
      </c>
      <c r="U416" s="33">
        <f t="shared" si="49"/>
        <v>40</v>
      </c>
      <c r="V416" s="33">
        <f t="shared" si="50"/>
        <v>108</v>
      </c>
      <c r="W416" s="36">
        <f t="shared" si="55"/>
        <v>0.1</v>
      </c>
      <c r="X416" s="33">
        <f t="shared" si="51"/>
        <v>97.2</v>
      </c>
      <c r="Y416" s="33" t="str">
        <f t="shared" si="52"/>
        <v>Gina Moreno</v>
      </c>
      <c r="Z416" s="33" t="str">
        <f t="shared" si="53"/>
        <v>Intime</v>
      </c>
      <c r="AA416" s="33" t="str">
        <f t="shared" si="54"/>
        <v>rediffmail.com</v>
      </c>
    </row>
    <row r="417" spans="1:27" ht="14.25" customHeight="1" x14ac:dyDescent="0.3">
      <c r="A417" t="s">
        <v>1737</v>
      </c>
      <c r="B417" t="s">
        <v>1738</v>
      </c>
      <c r="C417" t="s">
        <v>1739</v>
      </c>
      <c r="D417">
        <v>47</v>
      </c>
      <c r="E417" t="s">
        <v>41</v>
      </c>
      <c r="F417" t="s">
        <v>30</v>
      </c>
      <c r="G417" t="s">
        <v>1740</v>
      </c>
      <c r="H417" t="s">
        <v>1741</v>
      </c>
      <c r="I417" t="s">
        <v>1785</v>
      </c>
      <c r="J417" s="8">
        <v>45216</v>
      </c>
      <c r="K417" t="s">
        <v>1786</v>
      </c>
      <c r="L417" t="s">
        <v>57</v>
      </c>
      <c r="M417">
        <v>202.54</v>
      </c>
      <c r="N417">
        <v>5</v>
      </c>
      <c r="O417" t="s">
        <v>96</v>
      </c>
      <c r="P417">
        <v>4</v>
      </c>
      <c r="Q417">
        <v>58</v>
      </c>
      <c r="R417" s="8">
        <v>45218</v>
      </c>
      <c r="S417" t="s">
        <v>1787</v>
      </c>
      <c r="T417" s="34">
        <f t="shared" si="48"/>
        <v>2</v>
      </c>
      <c r="U417" s="34">
        <f t="shared" si="49"/>
        <v>1012.6999999999999</v>
      </c>
      <c r="V417" s="34">
        <f t="shared" si="50"/>
        <v>1070.6999999999998</v>
      </c>
      <c r="W417" s="36">
        <f t="shared" si="55"/>
        <v>0.1</v>
      </c>
      <c r="X417" s="34">
        <f t="shared" si="51"/>
        <v>963.62999999999988</v>
      </c>
      <c r="Y417" s="34" t="str">
        <f t="shared" si="52"/>
        <v>Regina Hawkins</v>
      </c>
      <c r="Z417" s="34" t="str">
        <f t="shared" si="53"/>
        <v>BeforeTime</v>
      </c>
      <c r="AA417" s="34" t="str">
        <f t="shared" si="54"/>
        <v>rediffmail.com</v>
      </c>
    </row>
    <row r="418" spans="1:27" ht="14.25" customHeight="1" x14ac:dyDescent="0.3">
      <c r="A418" t="s">
        <v>175</v>
      </c>
      <c r="B418" t="s">
        <v>176</v>
      </c>
      <c r="C418" t="s">
        <v>177</v>
      </c>
      <c r="D418">
        <v>36</v>
      </c>
      <c r="E418" t="s">
        <v>52</v>
      </c>
      <c r="F418" t="s">
        <v>140</v>
      </c>
      <c r="G418" t="s">
        <v>178</v>
      </c>
      <c r="H418" t="s">
        <v>179</v>
      </c>
      <c r="I418" t="s">
        <v>1788</v>
      </c>
      <c r="J418" s="8">
        <v>45368</v>
      </c>
      <c r="K418" t="s">
        <v>1789</v>
      </c>
      <c r="L418" t="s">
        <v>514</v>
      </c>
      <c r="M418">
        <v>136.30000000000001</v>
      </c>
      <c r="N418">
        <v>4</v>
      </c>
      <c r="O418" t="s">
        <v>36</v>
      </c>
      <c r="P418">
        <v>6</v>
      </c>
      <c r="Q418">
        <v>52</v>
      </c>
      <c r="R418" s="8">
        <v>45371</v>
      </c>
      <c r="S418" t="s">
        <v>1790</v>
      </c>
      <c r="T418" s="33">
        <f t="shared" si="48"/>
        <v>3</v>
      </c>
      <c r="U418" s="33">
        <f t="shared" si="49"/>
        <v>545.20000000000005</v>
      </c>
      <c r="V418" s="33">
        <f t="shared" si="50"/>
        <v>597.20000000000005</v>
      </c>
      <c r="W418" s="36">
        <f t="shared" si="55"/>
        <v>0.08</v>
      </c>
      <c r="X418" s="33">
        <f t="shared" si="51"/>
        <v>549.42400000000009</v>
      </c>
      <c r="Y418" s="33" t="str">
        <f t="shared" si="52"/>
        <v>Gina Moreno</v>
      </c>
      <c r="Z418" s="33" t="str">
        <f t="shared" si="53"/>
        <v>BeforeTime</v>
      </c>
      <c r="AA418" s="33" t="str">
        <f t="shared" si="54"/>
        <v>rediffmail.com</v>
      </c>
    </row>
    <row r="419" spans="1:27" ht="14.25" customHeight="1" x14ac:dyDescent="0.3">
      <c r="A419" t="s">
        <v>107</v>
      </c>
      <c r="B419" t="s">
        <v>108</v>
      </c>
      <c r="C419" t="s">
        <v>109</v>
      </c>
      <c r="D419">
        <v>48</v>
      </c>
      <c r="E419" t="s">
        <v>52</v>
      </c>
      <c r="F419" t="s">
        <v>42</v>
      </c>
      <c r="G419" t="s">
        <v>110</v>
      </c>
      <c r="H419" t="s">
        <v>111</v>
      </c>
      <c r="I419" t="s">
        <v>1791</v>
      </c>
      <c r="J419" s="8">
        <v>45661</v>
      </c>
      <c r="K419" t="s">
        <v>1007</v>
      </c>
      <c r="L419" t="s">
        <v>287</v>
      </c>
      <c r="M419">
        <v>157.63999999999999</v>
      </c>
      <c r="N419">
        <v>4</v>
      </c>
      <c r="O419" t="s">
        <v>63</v>
      </c>
      <c r="P419">
        <v>7</v>
      </c>
      <c r="Q419">
        <v>42</v>
      </c>
      <c r="R419" s="8">
        <v>45663</v>
      </c>
      <c r="S419" t="s">
        <v>1792</v>
      </c>
      <c r="T419" s="34">
        <f t="shared" si="48"/>
        <v>2</v>
      </c>
      <c r="U419" s="34">
        <f t="shared" si="49"/>
        <v>630.55999999999995</v>
      </c>
      <c r="V419" s="34">
        <f t="shared" si="50"/>
        <v>672.56</v>
      </c>
      <c r="W419" s="36">
        <f t="shared" si="55"/>
        <v>0</v>
      </c>
      <c r="X419" s="34">
        <f t="shared" si="51"/>
        <v>672.56</v>
      </c>
      <c r="Y419" s="34" t="str">
        <f t="shared" si="52"/>
        <v>Debra Rodriguez</v>
      </c>
      <c r="Z419" s="34" t="str">
        <f t="shared" si="53"/>
        <v>BeforeTime</v>
      </c>
      <c r="AA419" s="34" t="str">
        <f t="shared" si="54"/>
        <v>rediffmail.com</v>
      </c>
    </row>
    <row r="420" spans="1:27" ht="14.25" customHeight="1" x14ac:dyDescent="0.3">
      <c r="A420" t="s">
        <v>507</v>
      </c>
      <c r="B420" t="s">
        <v>508</v>
      </c>
      <c r="C420" t="s">
        <v>509</v>
      </c>
      <c r="D420">
        <v>64</v>
      </c>
      <c r="E420" t="s">
        <v>29</v>
      </c>
      <c r="F420" t="s">
        <v>30</v>
      </c>
      <c r="G420" t="s">
        <v>510</v>
      </c>
      <c r="H420" t="s">
        <v>511</v>
      </c>
      <c r="I420" t="s">
        <v>1793</v>
      </c>
      <c r="J420" s="8">
        <v>45147</v>
      </c>
      <c r="K420" t="s">
        <v>1794</v>
      </c>
      <c r="L420" t="s">
        <v>941</v>
      </c>
      <c r="M420">
        <v>107.47</v>
      </c>
      <c r="N420">
        <v>5</v>
      </c>
      <c r="O420" t="s">
        <v>85</v>
      </c>
      <c r="P420">
        <v>6</v>
      </c>
      <c r="Q420">
        <v>47</v>
      </c>
      <c r="R420" s="8">
        <v>45149</v>
      </c>
      <c r="S420" t="s">
        <v>1795</v>
      </c>
      <c r="T420" s="33">
        <f t="shared" si="48"/>
        <v>2</v>
      </c>
      <c r="U420" s="33">
        <f t="shared" si="49"/>
        <v>537.35</v>
      </c>
      <c r="V420" s="33">
        <f t="shared" si="50"/>
        <v>584.35</v>
      </c>
      <c r="W420" s="36">
        <f t="shared" si="55"/>
        <v>0.2</v>
      </c>
      <c r="X420" s="33">
        <f t="shared" si="51"/>
        <v>467.48</v>
      </c>
      <c r="Y420" s="33" t="str">
        <f t="shared" si="52"/>
        <v>Sarah Butler</v>
      </c>
      <c r="Z420" s="33" t="str">
        <f t="shared" si="53"/>
        <v>BeforeTime</v>
      </c>
      <c r="AA420" s="33" t="str">
        <f t="shared" si="54"/>
        <v>rediffmail.com</v>
      </c>
    </row>
    <row r="421" spans="1:27" ht="14.25" customHeight="1" x14ac:dyDescent="0.3">
      <c r="A421" t="s">
        <v>366</v>
      </c>
      <c r="B421" t="s">
        <v>367</v>
      </c>
      <c r="C421" t="s">
        <v>368</v>
      </c>
      <c r="D421">
        <v>31</v>
      </c>
      <c r="E421" t="s">
        <v>52</v>
      </c>
      <c r="F421" t="s">
        <v>140</v>
      </c>
      <c r="G421" t="s">
        <v>369</v>
      </c>
      <c r="H421" t="s">
        <v>370</v>
      </c>
      <c r="I421" t="s">
        <v>1796</v>
      </c>
      <c r="J421" s="8">
        <v>45653</v>
      </c>
      <c r="K421" t="s">
        <v>1797</v>
      </c>
      <c r="L421" t="s">
        <v>250</v>
      </c>
      <c r="M421">
        <v>128.13999999999999</v>
      </c>
      <c r="N421">
        <v>1</v>
      </c>
      <c r="O421" t="s">
        <v>63</v>
      </c>
      <c r="P421">
        <v>3</v>
      </c>
      <c r="Q421">
        <v>55</v>
      </c>
      <c r="R421" s="8">
        <v>45655</v>
      </c>
      <c r="S421" t="s">
        <v>1798</v>
      </c>
      <c r="T421" s="34">
        <f t="shared" si="48"/>
        <v>2</v>
      </c>
      <c r="U421" s="34">
        <f t="shared" si="49"/>
        <v>128.13999999999999</v>
      </c>
      <c r="V421" s="34">
        <f t="shared" si="50"/>
        <v>183.14</v>
      </c>
      <c r="W421" s="36">
        <f t="shared" si="55"/>
        <v>0</v>
      </c>
      <c r="X421" s="34">
        <f t="shared" si="51"/>
        <v>183.14</v>
      </c>
      <c r="Y421" s="34" t="str">
        <f t="shared" si="52"/>
        <v>Timothy Hicks</v>
      </c>
      <c r="Z421" s="34" t="str">
        <f t="shared" si="53"/>
        <v>BeforeTime</v>
      </c>
      <c r="AA421" s="34" t="str">
        <f t="shared" si="54"/>
        <v>gmail.com</v>
      </c>
    </row>
    <row r="422" spans="1:27" ht="14.25" customHeight="1" x14ac:dyDescent="0.3">
      <c r="A422" t="s">
        <v>546</v>
      </c>
      <c r="B422" t="s">
        <v>547</v>
      </c>
      <c r="C422" t="s">
        <v>548</v>
      </c>
      <c r="D422">
        <v>33</v>
      </c>
      <c r="E422" t="s">
        <v>52</v>
      </c>
      <c r="F422" t="s">
        <v>168</v>
      </c>
      <c r="G422" t="s">
        <v>549</v>
      </c>
      <c r="H422" t="s">
        <v>550</v>
      </c>
      <c r="I422" t="s">
        <v>1799</v>
      </c>
      <c r="J422" s="8">
        <v>45351</v>
      </c>
      <c r="K422" t="s">
        <v>1800</v>
      </c>
      <c r="L422" t="s">
        <v>553</v>
      </c>
      <c r="M422">
        <v>425.59</v>
      </c>
      <c r="N422">
        <v>2</v>
      </c>
      <c r="O422" t="s">
        <v>96</v>
      </c>
      <c r="P422">
        <v>4</v>
      </c>
      <c r="Q422">
        <v>64</v>
      </c>
      <c r="R422" s="8">
        <v>45358</v>
      </c>
      <c r="S422" t="s">
        <v>1801</v>
      </c>
      <c r="T422" s="33">
        <f t="shared" si="48"/>
        <v>7</v>
      </c>
      <c r="U422" s="33">
        <f t="shared" si="49"/>
        <v>851.18</v>
      </c>
      <c r="V422" s="33">
        <f t="shared" si="50"/>
        <v>915.18</v>
      </c>
      <c r="W422" s="36">
        <f t="shared" si="55"/>
        <v>0.1</v>
      </c>
      <c r="X422" s="33">
        <f t="shared" si="51"/>
        <v>823.66199999999992</v>
      </c>
      <c r="Y422" s="33" t="str">
        <f t="shared" si="52"/>
        <v>Jodi Whitney</v>
      </c>
      <c r="Z422" s="33" t="str">
        <f t="shared" si="53"/>
        <v>Late</v>
      </c>
      <c r="AA422" s="33" t="str">
        <f t="shared" si="54"/>
        <v>yahoo.com</v>
      </c>
    </row>
    <row r="423" spans="1:27" ht="14.25" customHeight="1" x14ac:dyDescent="0.3">
      <c r="A423" t="s">
        <v>401</v>
      </c>
      <c r="B423" t="s">
        <v>402</v>
      </c>
      <c r="C423" t="s">
        <v>403</v>
      </c>
      <c r="D423">
        <v>70</v>
      </c>
      <c r="E423" t="s">
        <v>29</v>
      </c>
      <c r="F423" t="s">
        <v>30</v>
      </c>
      <c r="G423" t="s">
        <v>404</v>
      </c>
      <c r="H423" t="s">
        <v>405</v>
      </c>
      <c r="I423" t="s">
        <v>1802</v>
      </c>
      <c r="J423" s="8">
        <v>45622</v>
      </c>
      <c r="K423" t="s">
        <v>1803</v>
      </c>
      <c r="L423" t="s">
        <v>984</v>
      </c>
      <c r="M423">
        <v>33.49</v>
      </c>
      <c r="N423">
        <v>5</v>
      </c>
      <c r="O423" t="s">
        <v>85</v>
      </c>
      <c r="P423">
        <v>5</v>
      </c>
      <c r="Q423">
        <v>64</v>
      </c>
      <c r="R423" s="8">
        <v>45628</v>
      </c>
      <c r="S423" t="s">
        <v>1804</v>
      </c>
      <c r="T423" s="34">
        <f t="shared" si="48"/>
        <v>6</v>
      </c>
      <c r="U423" s="34">
        <f t="shared" si="49"/>
        <v>167.45000000000002</v>
      </c>
      <c r="V423" s="34">
        <f t="shared" si="50"/>
        <v>231.45000000000002</v>
      </c>
      <c r="W423" s="36">
        <f t="shared" si="55"/>
        <v>0.2</v>
      </c>
      <c r="X423" s="34">
        <f t="shared" si="51"/>
        <v>185.16000000000003</v>
      </c>
      <c r="Y423" s="34" t="str">
        <f t="shared" si="52"/>
        <v>Alexandra Smith</v>
      </c>
      <c r="Z423" s="34" t="str">
        <f t="shared" si="53"/>
        <v>Late</v>
      </c>
      <c r="AA423" s="34" t="str">
        <f t="shared" si="54"/>
        <v>rediffmail.com</v>
      </c>
    </row>
    <row r="424" spans="1:27" ht="14.25" customHeight="1" x14ac:dyDescent="0.3">
      <c r="A424" t="s">
        <v>236</v>
      </c>
      <c r="B424" t="s">
        <v>66</v>
      </c>
      <c r="C424" t="s">
        <v>237</v>
      </c>
      <c r="D424">
        <v>52</v>
      </c>
      <c r="E424" t="s">
        <v>52</v>
      </c>
      <c r="F424" t="s">
        <v>42</v>
      </c>
      <c r="G424" t="s">
        <v>238</v>
      </c>
      <c r="H424" t="s">
        <v>239</v>
      </c>
      <c r="I424" t="s">
        <v>1805</v>
      </c>
      <c r="J424" s="8">
        <v>45269</v>
      </c>
      <c r="K424" t="s">
        <v>1806</v>
      </c>
      <c r="L424" t="s">
        <v>657</v>
      </c>
      <c r="M424">
        <v>235.63</v>
      </c>
      <c r="N424">
        <v>1</v>
      </c>
      <c r="O424" t="s">
        <v>63</v>
      </c>
      <c r="P424">
        <v>6</v>
      </c>
      <c r="Q424">
        <v>35</v>
      </c>
      <c r="R424" s="8">
        <v>45272</v>
      </c>
      <c r="S424" t="s">
        <v>1807</v>
      </c>
      <c r="T424" s="33">
        <f t="shared" si="48"/>
        <v>3</v>
      </c>
      <c r="U424" s="33">
        <f t="shared" si="49"/>
        <v>235.63</v>
      </c>
      <c r="V424" s="33">
        <f t="shared" si="50"/>
        <v>270.63</v>
      </c>
      <c r="W424" s="36">
        <f t="shared" si="55"/>
        <v>0</v>
      </c>
      <c r="X424" s="33">
        <f t="shared" si="51"/>
        <v>270.63</v>
      </c>
      <c r="Y424" s="33" t="str">
        <f t="shared" si="52"/>
        <v>Angela Evans</v>
      </c>
      <c r="Z424" s="33" t="str">
        <f t="shared" si="53"/>
        <v>BeforeTime</v>
      </c>
      <c r="AA424" s="33" t="str">
        <f t="shared" si="54"/>
        <v>outlook.com</v>
      </c>
    </row>
    <row r="425" spans="1:27" ht="14.25" customHeight="1" x14ac:dyDescent="0.3">
      <c r="A425" t="s">
        <v>1457</v>
      </c>
      <c r="B425" t="s">
        <v>273</v>
      </c>
      <c r="C425" t="s">
        <v>1458</v>
      </c>
      <c r="D425">
        <v>30</v>
      </c>
      <c r="E425" t="s">
        <v>29</v>
      </c>
      <c r="F425" t="s">
        <v>220</v>
      </c>
      <c r="G425" t="s">
        <v>1459</v>
      </c>
      <c r="H425" t="s">
        <v>1460</v>
      </c>
      <c r="I425" t="s">
        <v>1808</v>
      </c>
      <c r="J425" s="8">
        <v>45695</v>
      </c>
      <c r="K425" t="s">
        <v>1809</v>
      </c>
      <c r="L425" t="s">
        <v>774</v>
      </c>
      <c r="M425">
        <v>20</v>
      </c>
      <c r="N425">
        <v>3</v>
      </c>
      <c r="O425" t="s">
        <v>96</v>
      </c>
      <c r="P425">
        <v>7</v>
      </c>
      <c r="Q425">
        <v>65</v>
      </c>
      <c r="R425" s="8">
        <v>45701</v>
      </c>
      <c r="S425" t="s">
        <v>1810</v>
      </c>
      <c r="T425" s="34">
        <f t="shared" si="48"/>
        <v>6</v>
      </c>
      <c r="U425" s="34">
        <f t="shared" si="49"/>
        <v>60</v>
      </c>
      <c r="V425" s="34">
        <f t="shared" si="50"/>
        <v>125</v>
      </c>
      <c r="W425" s="36">
        <f t="shared" si="55"/>
        <v>0.1</v>
      </c>
      <c r="X425" s="34">
        <f t="shared" si="51"/>
        <v>112.5</v>
      </c>
      <c r="Y425" s="34" t="str">
        <f t="shared" si="52"/>
        <v>Lauren Lane</v>
      </c>
      <c r="Z425" s="34" t="str">
        <f t="shared" si="53"/>
        <v>BeforeTime</v>
      </c>
      <c r="AA425" s="34" t="str">
        <f t="shared" si="54"/>
        <v>gmail.com</v>
      </c>
    </row>
    <row r="426" spans="1:27" ht="14.25" customHeight="1" x14ac:dyDescent="0.3">
      <c r="A426" t="s">
        <v>731</v>
      </c>
      <c r="B426" t="s">
        <v>732</v>
      </c>
      <c r="C426" t="s">
        <v>733</v>
      </c>
      <c r="D426">
        <v>30</v>
      </c>
      <c r="E426" t="s">
        <v>29</v>
      </c>
      <c r="F426" t="s">
        <v>159</v>
      </c>
      <c r="G426" t="s">
        <v>734</v>
      </c>
      <c r="H426" t="s">
        <v>735</v>
      </c>
      <c r="I426" t="s">
        <v>1811</v>
      </c>
      <c r="J426" s="8">
        <v>45587</v>
      </c>
      <c r="K426" t="s">
        <v>1812</v>
      </c>
      <c r="L426" t="s">
        <v>984</v>
      </c>
      <c r="M426">
        <v>33.49</v>
      </c>
      <c r="N426">
        <v>5</v>
      </c>
      <c r="O426" t="s">
        <v>85</v>
      </c>
      <c r="P426">
        <v>2</v>
      </c>
      <c r="Q426">
        <v>58</v>
      </c>
      <c r="R426" s="8">
        <v>45589</v>
      </c>
      <c r="S426" t="s">
        <v>1813</v>
      </c>
      <c r="T426" s="33">
        <f t="shared" si="48"/>
        <v>2</v>
      </c>
      <c r="U426" s="33">
        <f t="shared" si="49"/>
        <v>167.45000000000002</v>
      </c>
      <c r="V426" s="33">
        <f t="shared" si="50"/>
        <v>225.45000000000002</v>
      </c>
      <c r="W426" s="36">
        <f t="shared" si="55"/>
        <v>0.2</v>
      </c>
      <c r="X426" s="33">
        <f t="shared" si="51"/>
        <v>180.36</v>
      </c>
      <c r="Y426" s="33" t="str">
        <f t="shared" si="52"/>
        <v>Melissa Levy</v>
      </c>
      <c r="Z426" s="33" t="str">
        <f t="shared" si="53"/>
        <v>Intime</v>
      </c>
      <c r="AA426" s="33" t="str">
        <f t="shared" si="54"/>
        <v>rediffmail.com</v>
      </c>
    </row>
    <row r="427" spans="1:27" ht="14.25" customHeight="1" x14ac:dyDescent="0.3">
      <c r="A427" t="s">
        <v>646</v>
      </c>
      <c r="B427" t="s">
        <v>647</v>
      </c>
      <c r="C427" t="s">
        <v>648</v>
      </c>
      <c r="D427">
        <v>45</v>
      </c>
      <c r="E427" t="s">
        <v>52</v>
      </c>
      <c r="F427" t="s">
        <v>90</v>
      </c>
      <c r="G427" t="s">
        <v>649</v>
      </c>
      <c r="H427" t="s">
        <v>650</v>
      </c>
      <c r="I427" t="s">
        <v>1814</v>
      </c>
      <c r="J427" s="8">
        <v>44987</v>
      </c>
      <c r="K427" t="s">
        <v>1815</v>
      </c>
      <c r="L427" t="s">
        <v>514</v>
      </c>
      <c r="M427">
        <v>136.30000000000001</v>
      </c>
      <c r="N427">
        <v>1</v>
      </c>
      <c r="O427" t="s">
        <v>36</v>
      </c>
      <c r="P427">
        <v>4</v>
      </c>
      <c r="Q427">
        <v>41</v>
      </c>
      <c r="R427" s="8">
        <v>44988</v>
      </c>
      <c r="S427" t="s">
        <v>1816</v>
      </c>
      <c r="T427" s="34">
        <f t="shared" si="48"/>
        <v>1</v>
      </c>
      <c r="U427" s="34">
        <f t="shared" si="49"/>
        <v>136.30000000000001</v>
      </c>
      <c r="V427" s="34">
        <f t="shared" si="50"/>
        <v>177.3</v>
      </c>
      <c r="W427" s="36">
        <f t="shared" si="55"/>
        <v>0.08</v>
      </c>
      <c r="X427" s="34">
        <f t="shared" si="51"/>
        <v>163.11600000000001</v>
      </c>
      <c r="Y427" s="34" t="str">
        <f t="shared" si="52"/>
        <v>Beth Mason</v>
      </c>
      <c r="Z427" s="34" t="str">
        <f t="shared" si="53"/>
        <v>BeforeTime</v>
      </c>
      <c r="AA427" s="34" t="str">
        <f t="shared" si="54"/>
        <v>outlook.com</v>
      </c>
    </row>
    <row r="428" spans="1:27" ht="14.25" customHeight="1" x14ac:dyDescent="0.3">
      <c r="A428" t="s">
        <v>1817</v>
      </c>
      <c r="B428" t="s">
        <v>1818</v>
      </c>
      <c r="C428" t="s">
        <v>194</v>
      </c>
      <c r="D428">
        <v>29</v>
      </c>
      <c r="E428" t="s">
        <v>52</v>
      </c>
      <c r="F428" t="s">
        <v>90</v>
      </c>
      <c r="G428" t="s">
        <v>1819</v>
      </c>
      <c r="H428" t="s">
        <v>1820</v>
      </c>
      <c r="I428" t="s">
        <v>1821</v>
      </c>
      <c r="J428" s="8">
        <v>45537</v>
      </c>
      <c r="K428" t="s">
        <v>1822</v>
      </c>
      <c r="L428" t="s">
        <v>270</v>
      </c>
      <c r="M428">
        <v>62.42</v>
      </c>
      <c r="N428">
        <v>1</v>
      </c>
      <c r="O428" t="s">
        <v>36</v>
      </c>
      <c r="P428">
        <v>3</v>
      </c>
      <c r="Q428">
        <v>48</v>
      </c>
      <c r="R428" s="8">
        <v>45542</v>
      </c>
      <c r="S428" t="s">
        <v>1823</v>
      </c>
      <c r="T428" s="33">
        <f t="shared" si="48"/>
        <v>5</v>
      </c>
      <c r="U428" s="33">
        <f t="shared" si="49"/>
        <v>62.42</v>
      </c>
      <c r="V428" s="33">
        <f t="shared" si="50"/>
        <v>110.42</v>
      </c>
      <c r="W428" s="36">
        <f t="shared" si="55"/>
        <v>0.08</v>
      </c>
      <c r="X428" s="33">
        <f t="shared" si="51"/>
        <v>101.58640000000001</v>
      </c>
      <c r="Y428" s="33" t="str">
        <f t="shared" si="52"/>
        <v>Scott Jones</v>
      </c>
      <c r="Z428" s="33" t="str">
        <f t="shared" si="53"/>
        <v>Late</v>
      </c>
      <c r="AA428" s="33" t="str">
        <f t="shared" si="54"/>
        <v>yahoo.com</v>
      </c>
    </row>
    <row r="429" spans="1:27" ht="14.25" customHeight="1" x14ac:dyDescent="0.3">
      <c r="A429" t="s">
        <v>520</v>
      </c>
      <c r="B429" t="s">
        <v>521</v>
      </c>
      <c r="C429" t="s">
        <v>522</v>
      </c>
      <c r="D429">
        <v>42</v>
      </c>
      <c r="E429" t="s">
        <v>52</v>
      </c>
      <c r="F429" t="s">
        <v>76</v>
      </c>
      <c r="G429" t="s">
        <v>523</v>
      </c>
      <c r="H429" t="s">
        <v>524</v>
      </c>
      <c r="I429" t="s">
        <v>1824</v>
      </c>
      <c r="J429" s="8">
        <v>45646</v>
      </c>
      <c r="K429" t="s">
        <v>1825</v>
      </c>
      <c r="L429" t="s">
        <v>553</v>
      </c>
      <c r="M429">
        <v>425.59</v>
      </c>
      <c r="N429">
        <v>5</v>
      </c>
      <c r="O429" t="s">
        <v>63</v>
      </c>
      <c r="P429">
        <v>5</v>
      </c>
      <c r="Q429">
        <v>47</v>
      </c>
      <c r="R429" s="8">
        <v>45652</v>
      </c>
      <c r="S429" t="s">
        <v>1826</v>
      </c>
      <c r="T429" s="34">
        <f t="shared" si="48"/>
        <v>6</v>
      </c>
      <c r="U429" s="34">
        <f t="shared" si="49"/>
        <v>2127.9499999999998</v>
      </c>
      <c r="V429" s="34">
        <f t="shared" si="50"/>
        <v>2174.9499999999998</v>
      </c>
      <c r="W429" s="36">
        <f t="shared" si="55"/>
        <v>0</v>
      </c>
      <c r="X429" s="34">
        <f t="shared" si="51"/>
        <v>2174.9499999999998</v>
      </c>
      <c r="Y429" s="34" t="str">
        <f t="shared" si="52"/>
        <v>Katherine Weber</v>
      </c>
      <c r="Z429" s="34" t="str">
        <f t="shared" si="53"/>
        <v>Late</v>
      </c>
      <c r="AA429" s="34" t="str">
        <f t="shared" si="54"/>
        <v>outlook.com</v>
      </c>
    </row>
    <row r="430" spans="1:27" ht="14.25" customHeight="1" x14ac:dyDescent="0.3">
      <c r="A430" t="s">
        <v>192</v>
      </c>
      <c r="B430" t="s">
        <v>193</v>
      </c>
      <c r="C430" t="s">
        <v>194</v>
      </c>
      <c r="D430">
        <v>34</v>
      </c>
      <c r="E430" t="s">
        <v>29</v>
      </c>
      <c r="F430" t="s">
        <v>90</v>
      </c>
      <c r="G430" t="s">
        <v>195</v>
      </c>
      <c r="H430" t="s">
        <v>196</v>
      </c>
      <c r="I430" t="s">
        <v>1827</v>
      </c>
      <c r="J430" s="8">
        <v>45504</v>
      </c>
      <c r="K430" t="s">
        <v>1828</v>
      </c>
      <c r="L430" t="s">
        <v>941</v>
      </c>
      <c r="M430">
        <v>107.47</v>
      </c>
      <c r="N430">
        <v>5</v>
      </c>
      <c r="O430" t="s">
        <v>96</v>
      </c>
      <c r="P430">
        <v>5</v>
      </c>
      <c r="Q430">
        <v>48</v>
      </c>
      <c r="R430" s="8">
        <v>45505</v>
      </c>
      <c r="S430" t="s">
        <v>1829</v>
      </c>
      <c r="T430" s="33">
        <f t="shared" si="48"/>
        <v>1</v>
      </c>
      <c r="U430" s="33">
        <f t="shared" si="49"/>
        <v>537.35</v>
      </c>
      <c r="V430" s="33">
        <f t="shared" si="50"/>
        <v>585.35</v>
      </c>
      <c r="W430" s="36">
        <f t="shared" si="55"/>
        <v>0.1</v>
      </c>
      <c r="X430" s="33">
        <f t="shared" si="51"/>
        <v>526.81500000000005</v>
      </c>
      <c r="Y430" s="33" t="str">
        <f t="shared" si="52"/>
        <v>Traci Jones</v>
      </c>
      <c r="Z430" s="33" t="str">
        <f t="shared" si="53"/>
        <v>BeforeTime</v>
      </c>
      <c r="AA430" s="33" t="str">
        <f t="shared" si="54"/>
        <v>yahoo.com</v>
      </c>
    </row>
    <row r="431" spans="1:27" ht="14.25" customHeight="1" x14ac:dyDescent="0.3">
      <c r="A431" t="s">
        <v>137</v>
      </c>
      <c r="B431" t="s">
        <v>138</v>
      </c>
      <c r="C431" t="s">
        <v>139</v>
      </c>
      <c r="D431">
        <v>25</v>
      </c>
      <c r="E431" t="s">
        <v>52</v>
      </c>
      <c r="F431" t="s">
        <v>140</v>
      </c>
      <c r="G431" t="s">
        <v>141</v>
      </c>
      <c r="H431" t="s">
        <v>142</v>
      </c>
      <c r="I431" t="s">
        <v>1830</v>
      </c>
      <c r="J431" s="8">
        <v>45271</v>
      </c>
      <c r="K431" t="s">
        <v>1831</v>
      </c>
      <c r="L431" t="s">
        <v>287</v>
      </c>
      <c r="M431">
        <v>157.63999999999999</v>
      </c>
      <c r="N431">
        <v>2</v>
      </c>
      <c r="O431" t="s">
        <v>63</v>
      </c>
      <c r="P431">
        <v>5</v>
      </c>
      <c r="Q431">
        <v>57</v>
      </c>
      <c r="R431" s="8">
        <v>45277</v>
      </c>
      <c r="S431" t="s">
        <v>1832</v>
      </c>
      <c r="T431" s="34">
        <f t="shared" si="48"/>
        <v>6</v>
      </c>
      <c r="U431" s="34">
        <f t="shared" si="49"/>
        <v>315.27999999999997</v>
      </c>
      <c r="V431" s="34">
        <f t="shared" si="50"/>
        <v>372.28</v>
      </c>
      <c r="W431" s="36">
        <f t="shared" si="55"/>
        <v>0</v>
      </c>
      <c r="X431" s="34">
        <f t="shared" si="51"/>
        <v>372.28</v>
      </c>
      <c r="Y431" s="34" t="str">
        <f t="shared" si="52"/>
        <v>Kara Brennan</v>
      </c>
      <c r="Z431" s="34" t="str">
        <f t="shared" si="53"/>
        <v>Late</v>
      </c>
      <c r="AA431" s="34" t="str">
        <f t="shared" si="54"/>
        <v>outlook.com</v>
      </c>
    </row>
    <row r="432" spans="1:27" ht="14.25" customHeight="1" x14ac:dyDescent="0.3">
      <c r="A432" t="s">
        <v>366</v>
      </c>
      <c r="B432" t="s">
        <v>367</v>
      </c>
      <c r="C432" t="s">
        <v>368</v>
      </c>
      <c r="D432">
        <v>31</v>
      </c>
      <c r="E432" t="s">
        <v>52</v>
      </c>
      <c r="F432" t="s">
        <v>140</v>
      </c>
      <c r="G432" t="s">
        <v>369</v>
      </c>
      <c r="H432" t="s">
        <v>370</v>
      </c>
      <c r="I432" t="s">
        <v>1833</v>
      </c>
      <c r="J432" s="8">
        <v>45398</v>
      </c>
      <c r="K432" t="s">
        <v>1834</v>
      </c>
      <c r="L432" t="s">
        <v>553</v>
      </c>
      <c r="M432">
        <v>425.59</v>
      </c>
      <c r="N432">
        <v>2</v>
      </c>
      <c r="O432" t="s">
        <v>58</v>
      </c>
      <c r="P432">
        <v>1</v>
      </c>
      <c r="Q432">
        <v>44</v>
      </c>
      <c r="R432" s="8">
        <v>45403</v>
      </c>
      <c r="S432" t="s">
        <v>1835</v>
      </c>
      <c r="T432" s="33">
        <f t="shared" si="48"/>
        <v>5</v>
      </c>
      <c r="U432" s="33">
        <f t="shared" si="49"/>
        <v>851.18</v>
      </c>
      <c r="V432" s="33">
        <f t="shared" si="50"/>
        <v>895.18</v>
      </c>
      <c r="W432" s="36">
        <f t="shared" si="55"/>
        <v>0.15</v>
      </c>
      <c r="X432" s="33">
        <f t="shared" si="51"/>
        <v>760.90299999999991</v>
      </c>
      <c r="Y432" s="33" t="str">
        <f t="shared" si="52"/>
        <v>Timothy Hicks</v>
      </c>
      <c r="Z432" s="33" t="str">
        <f t="shared" si="53"/>
        <v>Late</v>
      </c>
      <c r="AA432" s="33" t="str">
        <f t="shared" si="54"/>
        <v>gmail.com</v>
      </c>
    </row>
    <row r="433" spans="1:27" ht="14.25" customHeight="1" x14ac:dyDescent="0.3">
      <c r="A433" t="s">
        <v>750</v>
      </c>
      <c r="B433" t="s">
        <v>751</v>
      </c>
      <c r="C433" t="s">
        <v>752</v>
      </c>
      <c r="D433">
        <v>43</v>
      </c>
      <c r="E433" t="s">
        <v>52</v>
      </c>
      <c r="F433" t="s">
        <v>159</v>
      </c>
      <c r="G433" t="s">
        <v>753</v>
      </c>
      <c r="H433" t="s">
        <v>754</v>
      </c>
      <c r="I433" t="s">
        <v>1836</v>
      </c>
      <c r="J433" s="8">
        <v>45432</v>
      </c>
      <c r="K433" t="s">
        <v>1837</v>
      </c>
      <c r="L433" t="s">
        <v>225</v>
      </c>
      <c r="M433">
        <v>461.07</v>
      </c>
      <c r="N433">
        <v>1</v>
      </c>
      <c r="O433" t="s">
        <v>36</v>
      </c>
      <c r="P433">
        <v>1</v>
      </c>
      <c r="Q433">
        <v>42</v>
      </c>
      <c r="R433" s="8">
        <v>45433</v>
      </c>
      <c r="S433" t="s">
        <v>1838</v>
      </c>
      <c r="T433" s="34">
        <f t="shared" si="48"/>
        <v>1</v>
      </c>
      <c r="U433" s="34">
        <f t="shared" si="49"/>
        <v>461.07</v>
      </c>
      <c r="V433" s="34">
        <f t="shared" si="50"/>
        <v>503.07</v>
      </c>
      <c r="W433" s="36">
        <f t="shared" si="55"/>
        <v>0.08</v>
      </c>
      <c r="X433" s="34">
        <f t="shared" si="51"/>
        <v>462.82440000000003</v>
      </c>
      <c r="Y433" s="34" t="str">
        <f t="shared" si="52"/>
        <v>Barbara Fuller</v>
      </c>
      <c r="Z433" s="34" t="str">
        <f t="shared" si="53"/>
        <v>Intime</v>
      </c>
      <c r="AA433" s="34" t="str">
        <f t="shared" si="54"/>
        <v>rediffmail.com</v>
      </c>
    </row>
    <row r="434" spans="1:27" ht="14.25" customHeight="1" x14ac:dyDescent="0.3">
      <c r="A434" t="s">
        <v>87</v>
      </c>
      <c r="B434" t="s">
        <v>88</v>
      </c>
      <c r="C434" t="s">
        <v>89</v>
      </c>
      <c r="D434">
        <v>26</v>
      </c>
      <c r="E434" t="s">
        <v>41</v>
      </c>
      <c r="F434" t="s">
        <v>90</v>
      </c>
      <c r="G434" t="s">
        <v>91</v>
      </c>
      <c r="H434" t="s">
        <v>92</v>
      </c>
      <c r="I434" t="s">
        <v>1839</v>
      </c>
      <c r="J434" s="8">
        <v>45449</v>
      </c>
      <c r="K434" t="s">
        <v>1840</v>
      </c>
      <c r="L434" t="s">
        <v>657</v>
      </c>
      <c r="M434">
        <v>235.63</v>
      </c>
      <c r="N434">
        <v>1</v>
      </c>
      <c r="O434" t="s">
        <v>58</v>
      </c>
      <c r="P434">
        <v>3</v>
      </c>
      <c r="Q434">
        <v>55</v>
      </c>
      <c r="R434" s="8">
        <v>45455</v>
      </c>
      <c r="S434" t="s">
        <v>1841</v>
      </c>
      <c r="T434" s="33">
        <f t="shared" si="48"/>
        <v>6</v>
      </c>
      <c r="U434" s="33">
        <f t="shared" si="49"/>
        <v>235.63</v>
      </c>
      <c r="V434" s="33">
        <f t="shared" si="50"/>
        <v>290.63</v>
      </c>
      <c r="W434" s="36">
        <f t="shared" si="55"/>
        <v>0.15</v>
      </c>
      <c r="X434" s="33">
        <f t="shared" si="51"/>
        <v>247.03549999999998</v>
      </c>
      <c r="Y434" s="33" t="str">
        <f t="shared" si="52"/>
        <v>David Delacruz</v>
      </c>
      <c r="Z434" s="33" t="str">
        <f t="shared" si="53"/>
        <v>Late</v>
      </c>
      <c r="AA434" s="33" t="str">
        <f t="shared" si="54"/>
        <v>rediffmail.com</v>
      </c>
    </row>
    <row r="435" spans="1:27" ht="14.25" customHeight="1" x14ac:dyDescent="0.3">
      <c r="A435" t="s">
        <v>603</v>
      </c>
      <c r="B435" t="s">
        <v>604</v>
      </c>
      <c r="C435" t="s">
        <v>403</v>
      </c>
      <c r="D435">
        <v>18</v>
      </c>
      <c r="E435" t="s">
        <v>41</v>
      </c>
      <c r="F435" t="s">
        <v>42</v>
      </c>
      <c r="G435" t="s">
        <v>605</v>
      </c>
      <c r="H435" t="s">
        <v>606</v>
      </c>
      <c r="I435" t="s">
        <v>1842</v>
      </c>
      <c r="J435" s="8">
        <v>45178</v>
      </c>
      <c r="K435" t="s">
        <v>1843</v>
      </c>
      <c r="L435" t="s">
        <v>563</v>
      </c>
      <c r="M435">
        <v>133.62</v>
      </c>
      <c r="N435">
        <v>2</v>
      </c>
      <c r="O435" t="s">
        <v>36</v>
      </c>
      <c r="P435">
        <v>2</v>
      </c>
      <c r="Q435">
        <v>48</v>
      </c>
      <c r="R435" s="8">
        <v>45184</v>
      </c>
      <c r="S435" t="s">
        <v>1844</v>
      </c>
      <c r="T435" s="34">
        <f t="shared" si="48"/>
        <v>6</v>
      </c>
      <c r="U435" s="34">
        <f t="shared" si="49"/>
        <v>267.24</v>
      </c>
      <c r="V435" s="34">
        <f t="shared" si="50"/>
        <v>315.24</v>
      </c>
      <c r="W435" s="36">
        <f t="shared" si="55"/>
        <v>0.08</v>
      </c>
      <c r="X435" s="34">
        <f t="shared" si="51"/>
        <v>290.02080000000001</v>
      </c>
      <c r="Y435" s="34" t="str">
        <f t="shared" si="52"/>
        <v>Kelli Smith</v>
      </c>
      <c r="Z435" s="34" t="str">
        <f t="shared" si="53"/>
        <v>Late</v>
      </c>
      <c r="AA435" s="34" t="str">
        <f t="shared" si="54"/>
        <v>rediffmail.com</v>
      </c>
    </row>
    <row r="436" spans="1:27" ht="14.25" customHeight="1" x14ac:dyDescent="0.3">
      <c r="A436" t="s">
        <v>1238</v>
      </c>
      <c r="B436" t="s">
        <v>1239</v>
      </c>
      <c r="C436" t="s">
        <v>1240</v>
      </c>
      <c r="D436">
        <v>55</v>
      </c>
      <c r="E436" t="s">
        <v>41</v>
      </c>
      <c r="F436" t="s">
        <v>159</v>
      </c>
      <c r="G436" t="s">
        <v>1241</v>
      </c>
      <c r="H436" t="s">
        <v>1242</v>
      </c>
      <c r="I436" t="s">
        <v>1845</v>
      </c>
      <c r="J436" s="8">
        <v>45005</v>
      </c>
      <c r="K436" t="s">
        <v>1846</v>
      </c>
      <c r="L436" t="s">
        <v>182</v>
      </c>
      <c r="M436">
        <v>104.18</v>
      </c>
      <c r="N436">
        <v>1</v>
      </c>
      <c r="O436" t="s">
        <v>36</v>
      </c>
      <c r="P436">
        <v>5</v>
      </c>
      <c r="Q436">
        <v>37</v>
      </c>
      <c r="R436" s="8">
        <v>45007</v>
      </c>
      <c r="S436" t="s">
        <v>1847</v>
      </c>
      <c r="T436" s="33">
        <f t="shared" si="48"/>
        <v>2</v>
      </c>
      <c r="U436" s="33">
        <f t="shared" si="49"/>
        <v>104.18</v>
      </c>
      <c r="V436" s="33">
        <f t="shared" si="50"/>
        <v>141.18</v>
      </c>
      <c r="W436" s="36">
        <f t="shared" si="55"/>
        <v>0.08</v>
      </c>
      <c r="X436" s="33">
        <f t="shared" si="51"/>
        <v>129.88560000000001</v>
      </c>
      <c r="Y436" s="33" t="str">
        <f t="shared" si="52"/>
        <v>Hannah Gutierrez</v>
      </c>
      <c r="Z436" s="33" t="str">
        <f t="shared" si="53"/>
        <v>BeforeTime</v>
      </c>
      <c r="AA436" s="33" t="str">
        <f t="shared" si="54"/>
        <v>yahoo.com</v>
      </c>
    </row>
    <row r="437" spans="1:27" ht="14.25" customHeight="1" x14ac:dyDescent="0.3">
      <c r="A437" t="s">
        <v>679</v>
      </c>
      <c r="B437" t="s">
        <v>680</v>
      </c>
      <c r="C437" t="s">
        <v>681</v>
      </c>
      <c r="D437">
        <v>68</v>
      </c>
      <c r="E437" t="s">
        <v>29</v>
      </c>
      <c r="F437" t="s">
        <v>220</v>
      </c>
      <c r="G437" t="s">
        <v>682</v>
      </c>
      <c r="H437" t="s">
        <v>683</v>
      </c>
      <c r="I437" t="s">
        <v>1848</v>
      </c>
      <c r="J437" s="8">
        <v>45536</v>
      </c>
      <c r="K437" t="s">
        <v>1849</v>
      </c>
      <c r="L437" t="s">
        <v>95</v>
      </c>
      <c r="M437">
        <v>363.64</v>
      </c>
      <c r="N437">
        <v>4</v>
      </c>
      <c r="O437" t="s">
        <v>85</v>
      </c>
      <c r="P437">
        <v>2</v>
      </c>
      <c r="Q437">
        <v>42</v>
      </c>
      <c r="R437" s="8">
        <v>45540</v>
      </c>
      <c r="S437" t="s">
        <v>1850</v>
      </c>
      <c r="T437" s="34">
        <f t="shared" si="48"/>
        <v>4</v>
      </c>
      <c r="U437" s="34">
        <f t="shared" si="49"/>
        <v>1454.56</v>
      </c>
      <c r="V437" s="34">
        <f t="shared" si="50"/>
        <v>1496.56</v>
      </c>
      <c r="W437" s="36">
        <f t="shared" si="55"/>
        <v>0.2</v>
      </c>
      <c r="X437" s="34">
        <f t="shared" si="51"/>
        <v>1197.248</v>
      </c>
      <c r="Y437" s="34" t="str">
        <f t="shared" si="52"/>
        <v>Troy Gomez</v>
      </c>
      <c r="Z437" s="34" t="str">
        <f t="shared" si="53"/>
        <v>Late</v>
      </c>
      <c r="AA437" s="34" t="str">
        <f t="shared" si="54"/>
        <v>outlook.com</v>
      </c>
    </row>
    <row r="438" spans="1:27" ht="14.25" customHeight="1" x14ac:dyDescent="0.3">
      <c r="A438" t="s">
        <v>293</v>
      </c>
      <c r="B438" t="s">
        <v>294</v>
      </c>
      <c r="C438" t="s">
        <v>295</v>
      </c>
      <c r="D438">
        <v>48</v>
      </c>
      <c r="E438" t="s">
        <v>41</v>
      </c>
      <c r="F438" t="s">
        <v>90</v>
      </c>
      <c r="G438" t="s">
        <v>296</v>
      </c>
      <c r="H438" t="s">
        <v>297</v>
      </c>
      <c r="I438" t="s">
        <v>1851</v>
      </c>
      <c r="J438" s="8">
        <v>45310</v>
      </c>
      <c r="K438" t="s">
        <v>1852</v>
      </c>
      <c r="L438" t="s">
        <v>154</v>
      </c>
      <c r="M438">
        <v>220.27</v>
      </c>
      <c r="N438">
        <v>2</v>
      </c>
      <c r="O438" t="s">
        <v>58</v>
      </c>
      <c r="P438">
        <v>7</v>
      </c>
      <c r="Q438">
        <v>42</v>
      </c>
      <c r="R438" s="8">
        <v>45317</v>
      </c>
      <c r="S438" t="s">
        <v>1853</v>
      </c>
      <c r="T438" s="33">
        <f t="shared" si="48"/>
        <v>7</v>
      </c>
      <c r="U438" s="33">
        <f t="shared" si="49"/>
        <v>440.54</v>
      </c>
      <c r="V438" s="33">
        <f t="shared" si="50"/>
        <v>482.54</v>
      </c>
      <c r="W438" s="36">
        <f t="shared" si="55"/>
        <v>0.15</v>
      </c>
      <c r="X438" s="33">
        <f t="shared" si="51"/>
        <v>410.15899999999999</v>
      </c>
      <c r="Y438" s="33" t="str">
        <f t="shared" si="52"/>
        <v>Heather Schneider</v>
      </c>
      <c r="Z438" s="33" t="str">
        <f t="shared" si="53"/>
        <v>Intime</v>
      </c>
      <c r="AA438" s="33" t="str">
        <f t="shared" si="54"/>
        <v>outlook.com</v>
      </c>
    </row>
    <row r="439" spans="1:27" ht="14.25" customHeight="1" x14ac:dyDescent="0.3">
      <c r="A439" t="s">
        <v>688</v>
      </c>
      <c r="B439" t="s">
        <v>689</v>
      </c>
      <c r="C439" t="s">
        <v>690</v>
      </c>
      <c r="D439">
        <v>65</v>
      </c>
      <c r="E439" t="s">
        <v>41</v>
      </c>
      <c r="F439" t="s">
        <v>90</v>
      </c>
      <c r="G439" t="s">
        <v>691</v>
      </c>
      <c r="H439" t="s">
        <v>692</v>
      </c>
      <c r="I439" t="s">
        <v>1854</v>
      </c>
      <c r="J439" s="8">
        <v>45167</v>
      </c>
      <c r="K439" t="s">
        <v>1855</v>
      </c>
      <c r="L439" t="s">
        <v>984</v>
      </c>
      <c r="M439">
        <v>33.49</v>
      </c>
      <c r="N439">
        <v>3</v>
      </c>
      <c r="O439" t="s">
        <v>96</v>
      </c>
      <c r="P439">
        <v>1</v>
      </c>
      <c r="Q439">
        <v>50</v>
      </c>
      <c r="R439" s="8">
        <v>45172</v>
      </c>
      <c r="S439" t="s">
        <v>1856</v>
      </c>
      <c r="T439" s="34">
        <f t="shared" si="48"/>
        <v>5</v>
      </c>
      <c r="U439" s="34">
        <f t="shared" si="49"/>
        <v>100.47</v>
      </c>
      <c r="V439" s="34">
        <f t="shared" si="50"/>
        <v>150.47</v>
      </c>
      <c r="W439" s="36">
        <f t="shared" si="55"/>
        <v>0.1</v>
      </c>
      <c r="X439" s="34">
        <f t="shared" si="51"/>
        <v>135.423</v>
      </c>
      <c r="Y439" s="34" t="str">
        <f t="shared" si="52"/>
        <v>Kim Blevins</v>
      </c>
      <c r="Z439" s="34" t="str">
        <f t="shared" si="53"/>
        <v>Late</v>
      </c>
      <c r="AA439" s="34" t="str">
        <f t="shared" si="54"/>
        <v>outlook.com</v>
      </c>
    </row>
    <row r="440" spans="1:27" ht="14.25" customHeight="1" x14ac:dyDescent="0.3">
      <c r="A440" t="s">
        <v>349</v>
      </c>
      <c r="B440" t="s">
        <v>350</v>
      </c>
      <c r="C440" t="s">
        <v>351</v>
      </c>
      <c r="D440">
        <v>70</v>
      </c>
      <c r="E440" t="s">
        <v>29</v>
      </c>
      <c r="F440" t="s">
        <v>168</v>
      </c>
      <c r="G440" t="s">
        <v>352</v>
      </c>
      <c r="H440" t="s">
        <v>353</v>
      </c>
      <c r="I440" t="s">
        <v>1857</v>
      </c>
      <c r="J440" s="8">
        <v>45145</v>
      </c>
      <c r="K440" t="s">
        <v>1858</v>
      </c>
      <c r="L440" t="s">
        <v>287</v>
      </c>
      <c r="M440">
        <v>157.63999999999999</v>
      </c>
      <c r="N440">
        <v>2</v>
      </c>
      <c r="O440" t="s">
        <v>96</v>
      </c>
      <c r="P440">
        <v>6</v>
      </c>
      <c r="Q440">
        <v>65</v>
      </c>
      <c r="R440" s="8">
        <v>45148</v>
      </c>
      <c r="S440" t="s">
        <v>1859</v>
      </c>
      <c r="T440" s="33">
        <f t="shared" si="48"/>
        <v>3</v>
      </c>
      <c r="U440" s="33">
        <f t="shared" si="49"/>
        <v>315.27999999999997</v>
      </c>
      <c r="V440" s="33">
        <f t="shared" si="50"/>
        <v>380.28</v>
      </c>
      <c r="W440" s="36">
        <f t="shared" si="55"/>
        <v>0.1</v>
      </c>
      <c r="X440" s="33">
        <f t="shared" si="51"/>
        <v>342.25200000000001</v>
      </c>
      <c r="Y440" s="33" t="str">
        <f t="shared" si="52"/>
        <v>Donna Oneill</v>
      </c>
      <c r="Z440" s="33" t="str">
        <f t="shared" si="53"/>
        <v>BeforeTime</v>
      </c>
      <c r="AA440" s="33" t="str">
        <f t="shared" si="54"/>
        <v>yahoo.com</v>
      </c>
    </row>
    <row r="441" spans="1:27" ht="14.25" customHeight="1" x14ac:dyDescent="0.3">
      <c r="A441" t="s">
        <v>165</v>
      </c>
      <c r="B441" t="s">
        <v>166</v>
      </c>
      <c r="C441" t="s">
        <v>167</v>
      </c>
      <c r="D441">
        <v>46</v>
      </c>
      <c r="E441" t="s">
        <v>29</v>
      </c>
      <c r="F441" t="s">
        <v>168</v>
      </c>
      <c r="G441" t="s">
        <v>169</v>
      </c>
      <c r="H441" t="s">
        <v>170</v>
      </c>
      <c r="I441" t="s">
        <v>1860</v>
      </c>
      <c r="J441" s="8">
        <v>45010</v>
      </c>
      <c r="K441" t="s">
        <v>1861</v>
      </c>
      <c r="L441" t="s">
        <v>518</v>
      </c>
      <c r="M441">
        <v>441.03</v>
      </c>
      <c r="N441">
        <v>5</v>
      </c>
      <c r="O441" t="s">
        <v>85</v>
      </c>
      <c r="P441">
        <v>7</v>
      </c>
      <c r="Q441">
        <v>36</v>
      </c>
      <c r="R441" s="8">
        <v>45016</v>
      </c>
      <c r="S441" t="s">
        <v>1862</v>
      </c>
      <c r="T441" s="34">
        <f t="shared" si="48"/>
        <v>6</v>
      </c>
      <c r="U441" s="34">
        <f t="shared" si="49"/>
        <v>2205.1499999999996</v>
      </c>
      <c r="V441" s="34">
        <f t="shared" si="50"/>
        <v>2241.1499999999996</v>
      </c>
      <c r="W441" s="36">
        <f t="shared" si="55"/>
        <v>0.2</v>
      </c>
      <c r="X441" s="34">
        <f t="shared" si="51"/>
        <v>1792.9199999999998</v>
      </c>
      <c r="Y441" s="34" t="str">
        <f t="shared" si="52"/>
        <v>Erin Miller</v>
      </c>
      <c r="Z441" s="34" t="str">
        <f t="shared" si="53"/>
        <v>BeforeTime</v>
      </c>
      <c r="AA441" s="34" t="str">
        <f t="shared" si="54"/>
        <v>gmail.com</v>
      </c>
    </row>
    <row r="442" spans="1:27" ht="14.25" customHeight="1" x14ac:dyDescent="0.3">
      <c r="A442" t="s">
        <v>546</v>
      </c>
      <c r="B442" t="s">
        <v>547</v>
      </c>
      <c r="C442" t="s">
        <v>548</v>
      </c>
      <c r="D442">
        <v>33</v>
      </c>
      <c r="E442" t="s">
        <v>52</v>
      </c>
      <c r="F442" t="s">
        <v>168</v>
      </c>
      <c r="G442" t="s">
        <v>549</v>
      </c>
      <c r="H442" t="s">
        <v>550</v>
      </c>
      <c r="I442" t="s">
        <v>1863</v>
      </c>
      <c r="J442" s="8">
        <v>45628</v>
      </c>
      <c r="K442" t="s">
        <v>1864</v>
      </c>
      <c r="L442" t="s">
        <v>430</v>
      </c>
      <c r="M442">
        <v>369.03</v>
      </c>
      <c r="N442">
        <v>4</v>
      </c>
      <c r="O442" t="s">
        <v>36</v>
      </c>
      <c r="P442">
        <v>5</v>
      </c>
      <c r="Q442">
        <v>48</v>
      </c>
      <c r="R442" s="8">
        <v>45629</v>
      </c>
      <c r="S442" t="s">
        <v>1865</v>
      </c>
      <c r="T442" s="33">
        <f t="shared" si="48"/>
        <v>1</v>
      </c>
      <c r="U442" s="33">
        <f t="shared" si="49"/>
        <v>1476.12</v>
      </c>
      <c r="V442" s="33">
        <f t="shared" si="50"/>
        <v>1524.12</v>
      </c>
      <c r="W442" s="36">
        <f t="shared" si="55"/>
        <v>0.08</v>
      </c>
      <c r="X442" s="33">
        <f t="shared" si="51"/>
        <v>1402.1904</v>
      </c>
      <c r="Y442" s="33" t="str">
        <f t="shared" si="52"/>
        <v>Jodi Whitney</v>
      </c>
      <c r="Z442" s="33" t="str">
        <f t="shared" si="53"/>
        <v>BeforeTime</v>
      </c>
      <c r="AA442" s="33" t="str">
        <f t="shared" si="54"/>
        <v>yahoo.com</v>
      </c>
    </row>
    <row r="443" spans="1:27" ht="14.25" customHeight="1" x14ac:dyDescent="0.3">
      <c r="A443" t="s">
        <v>385</v>
      </c>
      <c r="B443" t="s">
        <v>386</v>
      </c>
      <c r="C443" t="s">
        <v>387</v>
      </c>
      <c r="D443">
        <v>47</v>
      </c>
      <c r="E443" t="s">
        <v>41</v>
      </c>
      <c r="F443" t="s">
        <v>90</v>
      </c>
      <c r="G443" t="s">
        <v>388</v>
      </c>
      <c r="H443" t="s">
        <v>389</v>
      </c>
      <c r="I443" t="s">
        <v>1866</v>
      </c>
      <c r="J443" s="8">
        <v>45529</v>
      </c>
      <c r="K443" t="s">
        <v>1867</v>
      </c>
      <c r="L443" t="s">
        <v>308</v>
      </c>
      <c r="M443">
        <v>129.75</v>
      </c>
      <c r="N443">
        <v>2</v>
      </c>
      <c r="O443" t="s">
        <v>85</v>
      </c>
      <c r="P443">
        <v>5</v>
      </c>
      <c r="Q443">
        <v>47</v>
      </c>
      <c r="R443" s="8">
        <v>45532</v>
      </c>
      <c r="S443" t="s">
        <v>1868</v>
      </c>
      <c r="T443" s="34">
        <f t="shared" si="48"/>
        <v>3</v>
      </c>
      <c r="U443" s="34">
        <f t="shared" si="49"/>
        <v>259.5</v>
      </c>
      <c r="V443" s="34">
        <f t="shared" si="50"/>
        <v>306.5</v>
      </c>
      <c r="W443" s="36">
        <f t="shared" si="55"/>
        <v>0.2</v>
      </c>
      <c r="X443" s="34">
        <f t="shared" si="51"/>
        <v>245.20000000000002</v>
      </c>
      <c r="Y443" s="34" t="str">
        <f t="shared" si="52"/>
        <v>Aaron Thompson</v>
      </c>
      <c r="Z443" s="34" t="str">
        <f t="shared" si="53"/>
        <v>BeforeTime</v>
      </c>
      <c r="AA443" s="34" t="str">
        <f t="shared" si="54"/>
        <v>gmail.com</v>
      </c>
    </row>
    <row r="444" spans="1:27" ht="14.25" customHeight="1" x14ac:dyDescent="0.3">
      <c r="A444" t="s">
        <v>1246</v>
      </c>
      <c r="B444" t="s">
        <v>66</v>
      </c>
      <c r="C444" t="s">
        <v>1247</v>
      </c>
      <c r="D444">
        <v>40</v>
      </c>
      <c r="E444" t="s">
        <v>29</v>
      </c>
      <c r="F444" t="s">
        <v>76</v>
      </c>
      <c r="G444" t="s">
        <v>1248</v>
      </c>
      <c r="H444" t="s">
        <v>1249</v>
      </c>
      <c r="I444" t="s">
        <v>1869</v>
      </c>
      <c r="J444" s="8">
        <v>45175</v>
      </c>
      <c r="K444" t="s">
        <v>1870</v>
      </c>
      <c r="L444" t="s">
        <v>199</v>
      </c>
      <c r="M444">
        <v>20.7</v>
      </c>
      <c r="N444">
        <v>2</v>
      </c>
      <c r="O444" t="s">
        <v>36</v>
      </c>
      <c r="P444">
        <v>5</v>
      </c>
      <c r="Q444">
        <v>61</v>
      </c>
      <c r="R444" s="8">
        <v>45177</v>
      </c>
      <c r="S444" t="s">
        <v>1871</v>
      </c>
      <c r="T444" s="33">
        <f t="shared" si="48"/>
        <v>2</v>
      </c>
      <c r="U444" s="33">
        <f t="shared" si="49"/>
        <v>41.4</v>
      </c>
      <c r="V444" s="33">
        <f t="shared" si="50"/>
        <v>102.4</v>
      </c>
      <c r="W444" s="36">
        <f t="shared" si="55"/>
        <v>0.08</v>
      </c>
      <c r="X444" s="33">
        <f t="shared" si="51"/>
        <v>94.208000000000013</v>
      </c>
      <c r="Y444" s="33" t="str">
        <f t="shared" si="52"/>
        <v>Angela Casey</v>
      </c>
      <c r="Z444" s="33" t="str">
        <f t="shared" si="53"/>
        <v>BeforeTime</v>
      </c>
      <c r="AA444" s="33" t="str">
        <f t="shared" si="54"/>
        <v>gmail.com</v>
      </c>
    </row>
    <row r="445" spans="1:27" ht="14.25" customHeight="1" x14ac:dyDescent="0.3">
      <c r="A445" t="s">
        <v>724</v>
      </c>
      <c r="B445" t="s">
        <v>725</v>
      </c>
      <c r="C445" t="s">
        <v>167</v>
      </c>
      <c r="D445">
        <v>70</v>
      </c>
      <c r="E445" t="s">
        <v>41</v>
      </c>
      <c r="F445" t="s">
        <v>90</v>
      </c>
      <c r="G445" t="s">
        <v>726</v>
      </c>
      <c r="H445" t="s">
        <v>727</v>
      </c>
      <c r="I445" t="s">
        <v>1872</v>
      </c>
      <c r="J445" s="8">
        <v>45379</v>
      </c>
      <c r="K445" t="s">
        <v>1873</v>
      </c>
      <c r="L445" t="s">
        <v>344</v>
      </c>
      <c r="M445">
        <v>372.62</v>
      </c>
      <c r="N445">
        <v>2</v>
      </c>
      <c r="O445" t="s">
        <v>96</v>
      </c>
      <c r="P445">
        <v>4</v>
      </c>
      <c r="Q445">
        <v>57</v>
      </c>
      <c r="R445" s="8">
        <v>45382</v>
      </c>
      <c r="S445" t="s">
        <v>1874</v>
      </c>
      <c r="T445" s="34">
        <f t="shared" si="48"/>
        <v>3</v>
      </c>
      <c r="U445" s="34">
        <f t="shared" si="49"/>
        <v>745.24</v>
      </c>
      <c r="V445" s="34">
        <f t="shared" si="50"/>
        <v>802.24</v>
      </c>
      <c r="W445" s="36">
        <f t="shared" si="55"/>
        <v>0.1</v>
      </c>
      <c r="X445" s="34">
        <f t="shared" si="51"/>
        <v>722.01600000000008</v>
      </c>
      <c r="Y445" s="34" t="str">
        <f t="shared" si="52"/>
        <v>Lisa Miller</v>
      </c>
      <c r="Z445" s="34" t="str">
        <f t="shared" si="53"/>
        <v>BeforeTime</v>
      </c>
      <c r="AA445" s="34" t="str">
        <f t="shared" si="54"/>
        <v>gmail.com</v>
      </c>
    </row>
    <row r="446" spans="1:27" ht="14.25" customHeight="1" x14ac:dyDescent="0.3">
      <c r="A446" t="s">
        <v>1875</v>
      </c>
      <c r="B446" t="s">
        <v>1104</v>
      </c>
      <c r="C446" t="s">
        <v>1876</v>
      </c>
      <c r="D446">
        <v>64</v>
      </c>
      <c r="E446" t="s">
        <v>41</v>
      </c>
      <c r="F446" t="s">
        <v>76</v>
      </c>
      <c r="G446" t="s">
        <v>1877</v>
      </c>
      <c r="H446" t="s">
        <v>1878</v>
      </c>
      <c r="I446" t="s">
        <v>1879</v>
      </c>
      <c r="J446" s="8">
        <v>45633</v>
      </c>
      <c r="K446" t="s">
        <v>1880</v>
      </c>
      <c r="L446" t="s">
        <v>941</v>
      </c>
      <c r="M446">
        <v>107.47</v>
      </c>
      <c r="N446">
        <v>4</v>
      </c>
      <c r="O446" t="s">
        <v>85</v>
      </c>
      <c r="P446">
        <v>5</v>
      </c>
      <c r="Q446">
        <v>42</v>
      </c>
      <c r="R446" s="8">
        <v>45637</v>
      </c>
      <c r="S446" t="s">
        <v>1881</v>
      </c>
      <c r="T446" s="33">
        <f t="shared" si="48"/>
        <v>4</v>
      </c>
      <c r="U446" s="33">
        <f t="shared" si="49"/>
        <v>429.88</v>
      </c>
      <c r="V446" s="33">
        <f t="shared" si="50"/>
        <v>471.88</v>
      </c>
      <c r="W446" s="36">
        <f t="shared" si="55"/>
        <v>0.2</v>
      </c>
      <c r="X446" s="33">
        <f t="shared" si="51"/>
        <v>377.50400000000002</v>
      </c>
      <c r="Y446" s="33" t="str">
        <f t="shared" si="52"/>
        <v>Gary Jacobs</v>
      </c>
      <c r="Z446" s="33" t="str">
        <f t="shared" si="53"/>
        <v>BeforeTime</v>
      </c>
      <c r="AA446" s="33" t="str">
        <f t="shared" si="54"/>
        <v>gmail.com</v>
      </c>
    </row>
    <row r="447" spans="1:27" ht="14.25" customHeight="1" x14ac:dyDescent="0.3">
      <c r="A447" t="s">
        <v>1875</v>
      </c>
      <c r="B447" t="s">
        <v>1104</v>
      </c>
      <c r="C447" t="s">
        <v>1876</v>
      </c>
      <c r="D447">
        <v>64</v>
      </c>
      <c r="E447" t="s">
        <v>41</v>
      </c>
      <c r="F447" t="s">
        <v>76</v>
      </c>
      <c r="G447" t="s">
        <v>1877</v>
      </c>
      <c r="H447" t="s">
        <v>1878</v>
      </c>
      <c r="I447" t="s">
        <v>1882</v>
      </c>
      <c r="J447" s="8">
        <v>45539</v>
      </c>
      <c r="K447" t="s">
        <v>1883</v>
      </c>
      <c r="L447" t="s">
        <v>35</v>
      </c>
      <c r="M447">
        <v>308.88</v>
      </c>
      <c r="N447">
        <v>2</v>
      </c>
      <c r="O447" t="s">
        <v>85</v>
      </c>
      <c r="P447">
        <v>2</v>
      </c>
      <c r="Q447">
        <v>55</v>
      </c>
      <c r="R447" s="8">
        <v>45541</v>
      </c>
      <c r="S447" t="s">
        <v>1884</v>
      </c>
      <c r="T447" s="34">
        <f t="shared" si="48"/>
        <v>2</v>
      </c>
      <c r="U447" s="34">
        <f t="shared" si="49"/>
        <v>617.76</v>
      </c>
      <c r="V447" s="34">
        <f t="shared" si="50"/>
        <v>672.76</v>
      </c>
      <c r="W447" s="36">
        <f t="shared" si="55"/>
        <v>0.2</v>
      </c>
      <c r="X447" s="34">
        <f t="shared" si="51"/>
        <v>538.20799999999997</v>
      </c>
      <c r="Y447" s="34" t="str">
        <f t="shared" si="52"/>
        <v>Gary Jacobs</v>
      </c>
      <c r="Z447" s="34" t="str">
        <f t="shared" si="53"/>
        <v>Intime</v>
      </c>
      <c r="AA447" s="34" t="str">
        <f t="shared" si="54"/>
        <v>gmail.com</v>
      </c>
    </row>
    <row r="448" spans="1:27" ht="14.25" customHeight="1" x14ac:dyDescent="0.3">
      <c r="A448" t="s">
        <v>38</v>
      </c>
      <c r="B448" t="s">
        <v>39</v>
      </c>
      <c r="C448" t="s">
        <v>40</v>
      </c>
      <c r="D448">
        <v>53</v>
      </c>
      <c r="E448" t="s">
        <v>41</v>
      </c>
      <c r="F448" t="s">
        <v>42</v>
      </c>
      <c r="G448" t="s">
        <v>43</v>
      </c>
      <c r="H448" t="s">
        <v>44</v>
      </c>
      <c r="I448" t="s">
        <v>1885</v>
      </c>
      <c r="J448" s="8">
        <v>45684</v>
      </c>
      <c r="K448" t="s">
        <v>1886</v>
      </c>
      <c r="L448" t="s">
        <v>270</v>
      </c>
      <c r="M448">
        <v>62.42</v>
      </c>
      <c r="N448">
        <v>5</v>
      </c>
      <c r="O448" t="s">
        <v>58</v>
      </c>
      <c r="P448">
        <v>6</v>
      </c>
      <c r="Q448">
        <v>69</v>
      </c>
      <c r="R448" s="8">
        <v>45690</v>
      </c>
      <c r="S448" t="s">
        <v>1887</v>
      </c>
      <c r="T448" s="33">
        <f t="shared" si="48"/>
        <v>6</v>
      </c>
      <c r="U448" s="33">
        <f t="shared" si="49"/>
        <v>312.10000000000002</v>
      </c>
      <c r="V448" s="33">
        <f t="shared" si="50"/>
        <v>381.1</v>
      </c>
      <c r="W448" s="36">
        <f t="shared" si="55"/>
        <v>0.15</v>
      </c>
      <c r="X448" s="33">
        <f t="shared" si="51"/>
        <v>323.935</v>
      </c>
      <c r="Y448" s="33" t="str">
        <f t="shared" si="52"/>
        <v>Anthony Thomas</v>
      </c>
      <c r="Z448" s="33" t="str">
        <f t="shared" si="53"/>
        <v>Intime</v>
      </c>
      <c r="AA448" s="33" t="str">
        <f t="shared" si="54"/>
        <v>rediffmail.com</v>
      </c>
    </row>
    <row r="449" spans="1:27" ht="14.25" customHeight="1" x14ac:dyDescent="0.3">
      <c r="A449" t="s">
        <v>1614</v>
      </c>
      <c r="B449" t="s">
        <v>273</v>
      </c>
      <c r="C449" t="s">
        <v>1615</v>
      </c>
      <c r="D449">
        <v>62</v>
      </c>
      <c r="E449" t="s">
        <v>41</v>
      </c>
      <c r="F449" t="s">
        <v>42</v>
      </c>
      <c r="G449" t="s">
        <v>1616</v>
      </c>
      <c r="H449" t="s">
        <v>1617</v>
      </c>
      <c r="I449" t="s">
        <v>1888</v>
      </c>
      <c r="J449" s="8">
        <v>45429</v>
      </c>
      <c r="K449" t="s">
        <v>1889</v>
      </c>
      <c r="L449" t="s">
        <v>473</v>
      </c>
      <c r="M449">
        <v>286.07</v>
      </c>
      <c r="N449">
        <v>1</v>
      </c>
      <c r="O449" t="s">
        <v>63</v>
      </c>
      <c r="P449">
        <v>4</v>
      </c>
      <c r="Q449">
        <v>43</v>
      </c>
      <c r="R449" s="8">
        <v>45434</v>
      </c>
      <c r="S449" t="s">
        <v>1890</v>
      </c>
      <c r="T449" s="34">
        <f t="shared" si="48"/>
        <v>5</v>
      </c>
      <c r="U449" s="34">
        <f t="shared" si="49"/>
        <v>286.07</v>
      </c>
      <c r="V449" s="34">
        <f t="shared" si="50"/>
        <v>329.07</v>
      </c>
      <c r="W449" s="36">
        <f t="shared" si="55"/>
        <v>0</v>
      </c>
      <c r="X449" s="34">
        <f t="shared" si="51"/>
        <v>329.07</v>
      </c>
      <c r="Y449" s="34" t="str">
        <f t="shared" si="52"/>
        <v>Lauren Crane</v>
      </c>
      <c r="Z449" s="34" t="str">
        <f t="shared" si="53"/>
        <v>Late</v>
      </c>
      <c r="AA449" s="34" t="str">
        <f t="shared" si="54"/>
        <v>yahoo.com</v>
      </c>
    </row>
    <row r="450" spans="1:27" ht="14.25" customHeight="1" x14ac:dyDescent="0.3">
      <c r="A450" t="s">
        <v>1875</v>
      </c>
      <c r="B450" t="s">
        <v>1104</v>
      </c>
      <c r="C450" t="s">
        <v>1876</v>
      </c>
      <c r="D450">
        <v>64</v>
      </c>
      <c r="E450" t="s">
        <v>41</v>
      </c>
      <c r="F450" t="s">
        <v>76</v>
      </c>
      <c r="G450" t="s">
        <v>1877</v>
      </c>
      <c r="H450" t="s">
        <v>1878</v>
      </c>
      <c r="I450" t="s">
        <v>1891</v>
      </c>
      <c r="J450" s="8">
        <v>45379</v>
      </c>
      <c r="K450" t="s">
        <v>1892</v>
      </c>
      <c r="L450" t="s">
        <v>47</v>
      </c>
      <c r="M450">
        <v>166.28</v>
      </c>
      <c r="N450">
        <v>2</v>
      </c>
      <c r="O450" t="s">
        <v>85</v>
      </c>
      <c r="P450">
        <v>4</v>
      </c>
      <c r="Q450">
        <v>40</v>
      </c>
      <c r="R450" s="8">
        <v>45384</v>
      </c>
      <c r="S450" t="s">
        <v>1893</v>
      </c>
      <c r="T450" s="33">
        <f t="shared" ref="T450:T501" si="56">R450-J450</f>
        <v>5</v>
      </c>
      <c r="U450" s="33">
        <f t="shared" ref="U450:U501" si="57">M450*N450</f>
        <v>332.56</v>
      </c>
      <c r="V450" s="33">
        <f t="shared" ref="V450:V513" si="58">U450+Q450</f>
        <v>372.56</v>
      </c>
      <c r="W450" s="36">
        <f t="shared" si="55"/>
        <v>0.2</v>
      </c>
      <c r="X450" s="33">
        <f t="shared" ref="X450:X513" si="59">V450*(1-W450)</f>
        <v>298.048</v>
      </c>
      <c r="Y450" s="33" t="str">
        <f t="shared" ref="Y450:Y501" si="60">B450&amp;" "&amp;C450</f>
        <v>Gary Jacobs</v>
      </c>
      <c r="Z450" s="33" t="str">
        <f t="shared" ref="Z450:Z501" si="61">IF(T450&gt;P450,"Late",IF(T450&lt;P450,"BeforeTime","Intime"))</f>
        <v>Late</v>
      </c>
      <c r="AA450" s="33" t="str">
        <f t="shared" ref="AA450:AA501" si="62">MID(G450,FIND("@",G450)+1,LEN(G450)-FIND("@",G450))</f>
        <v>gmail.com</v>
      </c>
    </row>
    <row r="451" spans="1:27" ht="14.25" customHeight="1" x14ac:dyDescent="0.3">
      <c r="A451" t="s">
        <v>592</v>
      </c>
      <c r="B451" t="s">
        <v>593</v>
      </c>
      <c r="C451" t="s">
        <v>594</v>
      </c>
      <c r="D451">
        <v>21</v>
      </c>
      <c r="E451" t="s">
        <v>29</v>
      </c>
      <c r="F451" t="s">
        <v>42</v>
      </c>
      <c r="G451" t="s">
        <v>595</v>
      </c>
      <c r="H451" t="s">
        <v>596</v>
      </c>
      <c r="I451" t="s">
        <v>1894</v>
      </c>
      <c r="J451" s="8">
        <v>45638</v>
      </c>
      <c r="K451" t="s">
        <v>1895</v>
      </c>
      <c r="L451" t="s">
        <v>653</v>
      </c>
      <c r="M451">
        <v>433.62</v>
      </c>
      <c r="N451">
        <v>2</v>
      </c>
      <c r="O451" t="s">
        <v>96</v>
      </c>
      <c r="P451">
        <v>7</v>
      </c>
      <c r="Q451">
        <v>39</v>
      </c>
      <c r="R451" s="8">
        <v>45644</v>
      </c>
      <c r="S451" t="s">
        <v>1896</v>
      </c>
      <c r="T451" s="34">
        <f t="shared" si="56"/>
        <v>6</v>
      </c>
      <c r="U451" s="34">
        <f t="shared" si="57"/>
        <v>867.24</v>
      </c>
      <c r="V451" s="34">
        <f t="shared" si="58"/>
        <v>906.24</v>
      </c>
      <c r="W451" s="36">
        <f t="shared" ref="W451:W501" si="63">IF(O451="FLAT8",0.08,IF(O451="FLAT10",0.1,IF(O451="FLAT15",0.15,IF(O451="FLAT20",0.2,0))))</f>
        <v>0.1</v>
      </c>
      <c r="X451" s="34">
        <f t="shared" si="59"/>
        <v>815.61599999999999</v>
      </c>
      <c r="Y451" s="34" t="str">
        <f t="shared" si="60"/>
        <v>William Mann</v>
      </c>
      <c r="Z451" s="34" t="str">
        <f t="shared" si="61"/>
        <v>BeforeTime</v>
      </c>
      <c r="AA451" s="34" t="str">
        <f t="shared" si="62"/>
        <v>yahoo.com</v>
      </c>
    </row>
    <row r="452" spans="1:27" ht="14.25" customHeight="1" x14ac:dyDescent="0.3">
      <c r="A452" t="s">
        <v>374</v>
      </c>
      <c r="B452" t="s">
        <v>40</v>
      </c>
      <c r="C452" t="s">
        <v>375</v>
      </c>
      <c r="D452">
        <v>50</v>
      </c>
      <c r="E452" t="s">
        <v>52</v>
      </c>
      <c r="F452" t="s">
        <v>140</v>
      </c>
      <c r="G452" t="s">
        <v>376</v>
      </c>
      <c r="H452" t="s">
        <v>377</v>
      </c>
      <c r="I452" t="s">
        <v>1897</v>
      </c>
      <c r="J452" s="8">
        <v>45149</v>
      </c>
      <c r="K452" t="s">
        <v>1898</v>
      </c>
      <c r="L452" t="s">
        <v>62</v>
      </c>
      <c r="M452">
        <v>405</v>
      </c>
      <c r="N452">
        <v>3</v>
      </c>
      <c r="O452" t="s">
        <v>96</v>
      </c>
      <c r="P452">
        <v>6</v>
      </c>
      <c r="Q452">
        <v>36</v>
      </c>
      <c r="R452" s="8">
        <v>45153</v>
      </c>
      <c r="S452" t="s">
        <v>1899</v>
      </c>
      <c r="T452" s="33">
        <f t="shared" si="56"/>
        <v>4</v>
      </c>
      <c r="U452" s="33">
        <f t="shared" si="57"/>
        <v>1215</v>
      </c>
      <c r="V452" s="33">
        <f t="shared" si="58"/>
        <v>1251</v>
      </c>
      <c r="W452" s="36">
        <f t="shared" si="63"/>
        <v>0.1</v>
      </c>
      <c r="X452" s="33">
        <f t="shared" si="59"/>
        <v>1125.9000000000001</v>
      </c>
      <c r="Y452" s="33" t="str">
        <f t="shared" si="60"/>
        <v>Thomas Andersen</v>
      </c>
      <c r="Z452" s="33" t="str">
        <f t="shared" si="61"/>
        <v>BeforeTime</v>
      </c>
      <c r="AA452" s="33" t="str">
        <f t="shared" si="62"/>
        <v>yahoo.com</v>
      </c>
    </row>
    <row r="453" spans="1:27" ht="14.25" customHeight="1" x14ac:dyDescent="0.3">
      <c r="A453" t="s">
        <v>38</v>
      </c>
      <c r="B453" t="s">
        <v>39</v>
      </c>
      <c r="C453" t="s">
        <v>40</v>
      </c>
      <c r="D453">
        <v>53</v>
      </c>
      <c r="E453" t="s">
        <v>41</v>
      </c>
      <c r="F453" t="s">
        <v>42</v>
      </c>
      <c r="G453" t="s">
        <v>43</v>
      </c>
      <c r="H453" t="s">
        <v>44</v>
      </c>
      <c r="I453" t="s">
        <v>1900</v>
      </c>
      <c r="J453" s="8">
        <v>45076</v>
      </c>
      <c r="K453" t="s">
        <v>1901</v>
      </c>
      <c r="L453" t="s">
        <v>81</v>
      </c>
      <c r="M453">
        <v>330.11</v>
      </c>
      <c r="N453">
        <v>3</v>
      </c>
      <c r="O453" t="s">
        <v>85</v>
      </c>
      <c r="P453">
        <v>7</v>
      </c>
      <c r="Q453">
        <v>40</v>
      </c>
      <c r="R453" s="8">
        <v>45080</v>
      </c>
      <c r="S453" t="s">
        <v>1902</v>
      </c>
      <c r="T453" s="34">
        <f t="shared" si="56"/>
        <v>4</v>
      </c>
      <c r="U453" s="34">
        <f t="shared" si="57"/>
        <v>990.33</v>
      </c>
      <c r="V453" s="34">
        <f t="shared" si="58"/>
        <v>1030.33</v>
      </c>
      <c r="W453" s="36">
        <f t="shared" si="63"/>
        <v>0.2</v>
      </c>
      <c r="X453" s="34">
        <f t="shared" si="59"/>
        <v>824.26400000000001</v>
      </c>
      <c r="Y453" s="34" t="str">
        <f t="shared" si="60"/>
        <v>Anthony Thomas</v>
      </c>
      <c r="Z453" s="34" t="str">
        <f t="shared" si="61"/>
        <v>BeforeTime</v>
      </c>
      <c r="AA453" s="34" t="str">
        <f t="shared" si="62"/>
        <v>rediffmail.com</v>
      </c>
    </row>
    <row r="454" spans="1:27" ht="14.25" customHeight="1" x14ac:dyDescent="0.3">
      <c r="A454" t="s">
        <v>1737</v>
      </c>
      <c r="B454" t="s">
        <v>1738</v>
      </c>
      <c r="C454" t="s">
        <v>1739</v>
      </c>
      <c r="D454">
        <v>47</v>
      </c>
      <c r="E454" t="s">
        <v>41</v>
      </c>
      <c r="F454" t="s">
        <v>30</v>
      </c>
      <c r="G454" t="s">
        <v>1740</v>
      </c>
      <c r="H454" t="s">
        <v>1741</v>
      </c>
      <c r="I454" t="s">
        <v>1903</v>
      </c>
      <c r="J454" s="8">
        <v>45380</v>
      </c>
      <c r="K454" t="s">
        <v>1904</v>
      </c>
      <c r="L454" t="s">
        <v>81</v>
      </c>
      <c r="M454">
        <v>330.11</v>
      </c>
      <c r="N454">
        <v>1</v>
      </c>
      <c r="O454" t="s">
        <v>96</v>
      </c>
      <c r="P454">
        <v>4</v>
      </c>
      <c r="Q454">
        <v>39</v>
      </c>
      <c r="R454" s="8">
        <v>45384</v>
      </c>
      <c r="S454" t="s">
        <v>1905</v>
      </c>
      <c r="T454" s="33">
        <f t="shared" si="56"/>
        <v>4</v>
      </c>
      <c r="U454" s="33">
        <f t="shared" si="57"/>
        <v>330.11</v>
      </c>
      <c r="V454" s="33">
        <f t="shared" si="58"/>
        <v>369.11</v>
      </c>
      <c r="W454" s="36">
        <f t="shared" si="63"/>
        <v>0.1</v>
      </c>
      <c r="X454" s="33">
        <f t="shared" si="59"/>
        <v>332.19900000000001</v>
      </c>
      <c r="Y454" s="33" t="str">
        <f t="shared" si="60"/>
        <v>Regina Hawkins</v>
      </c>
      <c r="Z454" s="33" t="str">
        <f t="shared" si="61"/>
        <v>Intime</v>
      </c>
      <c r="AA454" s="33" t="str">
        <f t="shared" si="62"/>
        <v>rediffmail.com</v>
      </c>
    </row>
    <row r="455" spans="1:27" ht="14.25" customHeight="1" x14ac:dyDescent="0.3">
      <c r="A455" t="s">
        <v>1906</v>
      </c>
      <c r="B455" t="s">
        <v>1907</v>
      </c>
      <c r="C455" t="s">
        <v>1908</v>
      </c>
      <c r="D455">
        <v>43</v>
      </c>
      <c r="E455" t="s">
        <v>29</v>
      </c>
      <c r="F455" t="s">
        <v>42</v>
      </c>
      <c r="G455" t="s">
        <v>1909</v>
      </c>
      <c r="H455" t="s">
        <v>1910</v>
      </c>
      <c r="I455" t="s">
        <v>1911</v>
      </c>
      <c r="J455" s="8">
        <v>45571</v>
      </c>
      <c r="K455" t="s">
        <v>1912</v>
      </c>
      <c r="L455" t="s">
        <v>637</v>
      </c>
      <c r="M455">
        <v>445.81</v>
      </c>
      <c r="N455">
        <v>2</v>
      </c>
      <c r="O455" t="s">
        <v>58</v>
      </c>
      <c r="P455">
        <v>4</v>
      </c>
      <c r="Q455">
        <v>59</v>
      </c>
      <c r="R455" s="8">
        <v>45576</v>
      </c>
      <c r="S455" t="s">
        <v>1913</v>
      </c>
      <c r="T455" s="34">
        <f t="shared" si="56"/>
        <v>5</v>
      </c>
      <c r="U455" s="34">
        <f t="shared" si="57"/>
        <v>891.62</v>
      </c>
      <c r="V455" s="34">
        <f t="shared" si="58"/>
        <v>950.62</v>
      </c>
      <c r="W455" s="36">
        <f t="shared" si="63"/>
        <v>0.15</v>
      </c>
      <c r="X455" s="34">
        <f t="shared" si="59"/>
        <v>808.02699999999993</v>
      </c>
      <c r="Y455" s="34" t="str">
        <f t="shared" si="60"/>
        <v>Janice Gordon</v>
      </c>
      <c r="Z455" s="34" t="str">
        <f t="shared" si="61"/>
        <v>Late</v>
      </c>
      <c r="AA455" s="34" t="str">
        <f t="shared" si="62"/>
        <v>yahoo.com</v>
      </c>
    </row>
    <row r="456" spans="1:27" ht="14.25" customHeight="1" x14ac:dyDescent="0.3">
      <c r="A456" t="s">
        <v>1614</v>
      </c>
      <c r="B456" t="s">
        <v>273</v>
      </c>
      <c r="C456" t="s">
        <v>1615</v>
      </c>
      <c r="D456">
        <v>62</v>
      </c>
      <c r="E456" t="s">
        <v>41</v>
      </c>
      <c r="F456" t="s">
        <v>42</v>
      </c>
      <c r="G456" t="s">
        <v>1616</v>
      </c>
      <c r="H456" t="s">
        <v>1617</v>
      </c>
      <c r="I456" t="s">
        <v>1914</v>
      </c>
      <c r="J456" s="8">
        <v>45380</v>
      </c>
      <c r="K456" t="s">
        <v>1915</v>
      </c>
      <c r="L456" t="s">
        <v>984</v>
      </c>
      <c r="M456">
        <v>33.49</v>
      </c>
      <c r="N456">
        <v>1</v>
      </c>
      <c r="O456" t="s">
        <v>63</v>
      </c>
      <c r="P456">
        <v>2</v>
      </c>
      <c r="Q456">
        <v>69</v>
      </c>
      <c r="R456" s="8">
        <v>45385</v>
      </c>
      <c r="S456" t="s">
        <v>1916</v>
      </c>
      <c r="T456" s="33">
        <f t="shared" si="56"/>
        <v>5</v>
      </c>
      <c r="U456" s="33">
        <f t="shared" si="57"/>
        <v>33.49</v>
      </c>
      <c r="V456" s="33">
        <f t="shared" si="58"/>
        <v>102.49000000000001</v>
      </c>
      <c r="W456" s="36">
        <f t="shared" si="63"/>
        <v>0</v>
      </c>
      <c r="X456" s="33">
        <f t="shared" si="59"/>
        <v>102.49000000000001</v>
      </c>
      <c r="Y456" s="33" t="str">
        <f t="shared" si="60"/>
        <v>Lauren Crane</v>
      </c>
      <c r="Z456" s="33" t="str">
        <f t="shared" si="61"/>
        <v>Late</v>
      </c>
      <c r="AA456" s="33" t="str">
        <f t="shared" si="62"/>
        <v>yahoo.com</v>
      </c>
    </row>
    <row r="457" spans="1:27" ht="14.25" customHeight="1" x14ac:dyDescent="0.3">
      <c r="A457" t="s">
        <v>366</v>
      </c>
      <c r="B457" t="s">
        <v>367</v>
      </c>
      <c r="C457" t="s">
        <v>368</v>
      </c>
      <c r="D457">
        <v>31</v>
      </c>
      <c r="E457" t="s">
        <v>52</v>
      </c>
      <c r="F457" t="s">
        <v>140</v>
      </c>
      <c r="G457" t="s">
        <v>369</v>
      </c>
      <c r="H457" t="s">
        <v>370</v>
      </c>
      <c r="I457" t="s">
        <v>1917</v>
      </c>
      <c r="J457" s="8">
        <v>45525</v>
      </c>
      <c r="K457" t="s">
        <v>1918</v>
      </c>
      <c r="L457" t="s">
        <v>287</v>
      </c>
      <c r="M457">
        <v>157.63999999999999</v>
      </c>
      <c r="N457">
        <v>1</v>
      </c>
      <c r="O457" t="s">
        <v>85</v>
      </c>
      <c r="P457">
        <v>7</v>
      </c>
      <c r="Q457">
        <v>46</v>
      </c>
      <c r="R457" s="8">
        <v>45527</v>
      </c>
      <c r="S457" t="s">
        <v>1919</v>
      </c>
      <c r="T457" s="34">
        <f t="shared" si="56"/>
        <v>2</v>
      </c>
      <c r="U457" s="34">
        <f t="shared" si="57"/>
        <v>157.63999999999999</v>
      </c>
      <c r="V457" s="34">
        <f t="shared" si="58"/>
        <v>203.64</v>
      </c>
      <c r="W457" s="36">
        <f t="shared" si="63"/>
        <v>0.2</v>
      </c>
      <c r="X457" s="34">
        <f t="shared" si="59"/>
        <v>162.91200000000001</v>
      </c>
      <c r="Y457" s="34" t="str">
        <f t="shared" si="60"/>
        <v>Timothy Hicks</v>
      </c>
      <c r="Z457" s="34" t="str">
        <f t="shared" si="61"/>
        <v>BeforeTime</v>
      </c>
      <c r="AA457" s="34" t="str">
        <f t="shared" si="62"/>
        <v>gmail.com</v>
      </c>
    </row>
    <row r="458" spans="1:27" ht="14.25" customHeight="1" x14ac:dyDescent="0.3">
      <c r="A458" t="s">
        <v>358</v>
      </c>
      <c r="B458" t="s">
        <v>359</v>
      </c>
      <c r="C458" t="s">
        <v>360</v>
      </c>
      <c r="D458">
        <v>32</v>
      </c>
      <c r="E458" t="s">
        <v>41</v>
      </c>
      <c r="F458" t="s">
        <v>168</v>
      </c>
      <c r="G458" t="s">
        <v>361</v>
      </c>
      <c r="H458" t="s">
        <v>362</v>
      </c>
      <c r="I458" t="s">
        <v>1920</v>
      </c>
      <c r="J458" s="8">
        <v>45257</v>
      </c>
      <c r="K458" t="s">
        <v>1921</v>
      </c>
      <c r="L458" t="s">
        <v>126</v>
      </c>
      <c r="M458">
        <v>257.06</v>
      </c>
      <c r="N458">
        <v>1</v>
      </c>
      <c r="O458" t="s">
        <v>36</v>
      </c>
      <c r="P458">
        <v>3</v>
      </c>
      <c r="Q458">
        <v>47</v>
      </c>
      <c r="R458" s="8">
        <v>45259</v>
      </c>
      <c r="S458" t="s">
        <v>1922</v>
      </c>
      <c r="T458" s="33">
        <f t="shared" si="56"/>
        <v>2</v>
      </c>
      <c r="U458" s="33">
        <f t="shared" si="57"/>
        <v>257.06</v>
      </c>
      <c r="V458" s="33">
        <f t="shared" si="58"/>
        <v>304.06</v>
      </c>
      <c r="W458" s="36">
        <f t="shared" si="63"/>
        <v>0.08</v>
      </c>
      <c r="X458" s="33">
        <f t="shared" si="59"/>
        <v>279.73520000000002</v>
      </c>
      <c r="Y458" s="33" t="str">
        <f t="shared" si="60"/>
        <v>Robert Castillo</v>
      </c>
      <c r="Z458" s="33" t="str">
        <f t="shared" si="61"/>
        <v>BeforeTime</v>
      </c>
      <c r="AA458" s="33" t="str">
        <f t="shared" si="62"/>
        <v>gmail.com</v>
      </c>
    </row>
    <row r="459" spans="1:27" ht="14.25" customHeight="1" x14ac:dyDescent="0.3">
      <c r="A459" t="s">
        <v>1042</v>
      </c>
      <c r="B459" t="s">
        <v>74</v>
      </c>
      <c r="C459" t="s">
        <v>1043</v>
      </c>
      <c r="D459">
        <v>46</v>
      </c>
      <c r="E459" t="s">
        <v>29</v>
      </c>
      <c r="F459" t="s">
        <v>30</v>
      </c>
      <c r="G459" t="s">
        <v>1044</v>
      </c>
      <c r="H459" t="s">
        <v>1045</v>
      </c>
      <c r="I459" t="s">
        <v>1923</v>
      </c>
      <c r="J459" s="8">
        <v>44980</v>
      </c>
      <c r="K459" t="s">
        <v>1924</v>
      </c>
      <c r="L459" t="s">
        <v>383</v>
      </c>
      <c r="M459">
        <v>431.44</v>
      </c>
      <c r="N459">
        <v>3</v>
      </c>
      <c r="O459" t="s">
        <v>36</v>
      </c>
      <c r="P459">
        <v>6</v>
      </c>
      <c r="Q459">
        <v>70</v>
      </c>
      <c r="R459" s="8">
        <v>44983</v>
      </c>
      <c r="S459" t="s">
        <v>1925</v>
      </c>
      <c r="T459" s="34">
        <f t="shared" si="56"/>
        <v>3</v>
      </c>
      <c r="U459" s="34">
        <f t="shared" si="57"/>
        <v>1294.32</v>
      </c>
      <c r="V459" s="34">
        <f t="shared" si="58"/>
        <v>1364.32</v>
      </c>
      <c r="W459" s="36">
        <f t="shared" si="63"/>
        <v>0.08</v>
      </c>
      <c r="X459" s="34">
        <f t="shared" si="59"/>
        <v>1255.1744000000001</v>
      </c>
      <c r="Y459" s="34" t="str">
        <f t="shared" si="60"/>
        <v>Christine Aguilar</v>
      </c>
      <c r="Z459" s="34" t="str">
        <f t="shared" si="61"/>
        <v>BeforeTime</v>
      </c>
      <c r="AA459" s="34" t="str">
        <f t="shared" si="62"/>
        <v>gmail.com</v>
      </c>
    </row>
    <row r="460" spans="1:27" ht="14.25" customHeight="1" x14ac:dyDescent="0.3">
      <c r="A460" t="s">
        <v>1737</v>
      </c>
      <c r="B460" t="s">
        <v>1738</v>
      </c>
      <c r="C460" t="s">
        <v>1739</v>
      </c>
      <c r="D460">
        <v>47</v>
      </c>
      <c r="E460" t="s">
        <v>41</v>
      </c>
      <c r="F460" t="s">
        <v>30</v>
      </c>
      <c r="G460" t="s">
        <v>1740</v>
      </c>
      <c r="H460" t="s">
        <v>1741</v>
      </c>
      <c r="I460" t="s">
        <v>1926</v>
      </c>
      <c r="J460" s="8">
        <v>45183</v>
      </c>
      <c r="K460" t="s">
        <v>1927</v>
      </c>
      <c r="L460" t="s">
        <v>234</v>
      </c>
      <c r="M460">
        <v>132.97</v>
      </c>
      <c r="N460">
        <v>1</v>
      </c>
      <c r="O460" t="s">
        <v>58</v>
      </c>
      <c r="P460">
        <v>6</v>
      </c>
      <c r="Q460">
        <v>37</v>
      </c>
      <c r="R460" s="8">
        <v>45190</v>
      </c>
      <c r="S460" t="s">
        <v>1928</v>
      </c>
      <c r="T460" s="33">
        <f t="shared" si="56"/>
        <v>7</v>
      </c>
      <c r="U460" s="33">
        <f t="shared" si="57"/>
        <v>132.97</v>
      </c>
      <c r="V460" s="33">
        <f t="shared" si="58"/>
        <v>169.97</v>
      </c>
      <c r="W460" s="36">
        <f t="shared" si="63"/>
        <v>0.15</v>
      </c>
      <c r="X460" s="33">
        <f t="shared" si="59"/>
        <v>144.47450000000001</v>
      </c>
      <c r="Y460" s="33" t="str">
        <f t="shared" si="60"/>
        <v>Regina Hawkins</v>
      </c>
      <c r="Z460" s="33" t="str">
        <f t="shared" si="61"/>
        <v>Late</v>
      </c>
      <c r="AA460" s="33" t="str">
        <f t="shared" si="62"/>
        <v>rediffmail.com</v>
      </c>
    </row>
    <row r="461" spans="1:27" ht="14.25" customHeight="1" x14ac:dyDescent="0.3">
      <c r="A461" t="s">
        <v>1737</v>
      </c>
      <c r="B461" t="s">
        <v>1738</v>
      </c>
      <c r="C461" t="s">
        <v>1739</v>
      </c>
      <c r="D461">
        <v>47</v>
      </c>
      <c r="E461" t="s">
        <v>41</v>
      </c>
      <c r="F461" t="s">
        <v>30</v>
      </c>
      <c r="G461" t="s">
        <v>1740</v>
      </c>
      <c r="H461" t="s">
        <v>1741</v>
      </c>
      <c r="I461" t="s">
        <v>1929</v>
      </c>
      <c r="J461" s="8">
        <v>45015</v>
      </c>
      <c r="K461" t="s">
        <v>1930</v>
      </c>
      <c r="L461" t="s">
        <v>323</v>
      </c>
      <c r="M461">
        <v>481.48</v>
      </c>
      <c r="N461">
        <v>2</v>
      </c>
      <c r="O461" t="s">
        <v>63</v>
      </c>
      <c r="P461">
        <v>5</v>
      </c>
      <c r="Q461">
        <v>45</v>
      </c>
      <c r="R461" s="8">
        <v>45017</v>
      </c>
      <c r="S461" t="s">
        <v>1931</v>
      </c>
      <c r="T461" s="34">
        <f t="shared" si="56"/>
        <v>2</v>
      </c>
      <c r="U461" s="34">
        <f t="shared" si="57"/>
        <v>962.96</v>
      </c>
      <c r="V461" s="34">
        <f t="shared" si="58"/>
        <v>1007.96</v>
      </c>
      <c r="W461" s="36">
        <f t="shared" si="63"/>
        <v>0</v>
      </c>
      <c r="X461" s="34">
        <f t="shared" si="59"/>
        <v>1007.96</v>
      </c>
      <c r="Y461" s="34" t="str">
        <f t="shared" si="60"/>
        <v>Regina Hawkins</v>
      </c>
      <c r="Z461" s="34" t="str">
        <f t="shared" si="61"/>
        <v>BeforeTime</v>
      </c>
      <c r="AA461" s="34" t="str">
        <f t="shared" si="62"/>
        <v>rediffmail.com</v>
      </c>
    </row>
    <row r="462" spans="1:27" ht="14.25" customHeight="1" x14ac:dyDescent="0.3">
      <c r="A462" t="s">
        <v>1932</v>
      </c>
      <c r="B462" t="s">
        <v>1933</v>
      </c>
      <c r="C462" t="s">
        <v>1934</v>
      </c>
      <c r="D462">
        <v>54</v>
      </c>
      <c r="E462" t="s">
        <v>41</v>
      </c>
      <c r="F462" t="s">
        <v>76</v>
      </c>
      <c r="G462" t="s">
        <v>1935</v>
      </c>
      <c r="H462" t="s">
        <v>1936</v>
      </c>
      <c r="I462" t="s">
        <v>1937</v>
      </c>
      <c r="J462" s="8">
        <v>45587</v>
      </c>
      <c r="K462" t="s">
        <v>1938</v>
      </c>
      <c r="L462" t="s">
        <v>481</v>
      </c>
      <c r="M462">
        <v>87.09</v>
      </c>
      <c r="N462">
        <v>5</v>
      </c>
      <c r="O462" t="s">
        <v>58</v>
      </c>
      <c r="P462">
        <v>7</v>
      </c>
      <c r="Q462">
        <v>40</v>
      </c>
      <c r="R462" s="8">
        <v>45589</v>
      </c>
      <c r="S462" t="s">
        <v>1939</v>
      </c>
      <c r="T462" s="33">
        <f t="shared" si="56"/>
        <v>2</v>
      </c>
      <c r="U462" s="33">
        <f t="shared" si="57"/>
        <v>435.45000000000005</v>
      </c>
      <c r="V462" s="33">
        <f t="shared" si="58"/>
        <v>475.45000000000005</v>
      </c>
      <c r="W462" s="36">
        <f t="shared" si="63"/>
        <v>0.15</v>
      </c>
      <c r="X462" s="33">
        <f t="shared" si="59"/>
        <v>404.13250000000005</v>
      </c>
      <c r="Y462" s="33" t="str">
        <f t="shared" si="60"/>
        <v>Diana French</v>
      </c>
      <c r="Z462" s="33" t="str">
        <f t="shared" si="61"/>
        <v>BeforeTime</v>
      </c>
      <c r="AA462" s="33" t="str">
        <f t="shared" si="62"/>
        <v>outlook.com</v>
      </c>
    </row>
    <row r="463" spans="1:27" ht="14.25" customHeight="1" x14ac:dyDescent="0.3">
      <c r="A463" t="s">
        <v>823</v>
      </c>
      <c r="B463" t="s">
        <v>824</v>
      </c>
      <c r="C463" t="s">
        <v>825</v>
      </c>
      <c r="D463">
        <v>42</v>
      </c>
      <c r="E463" t="s">
        <v>29</v>
      </c>
      <c r="F463" t="s">
        <v>76</v>
      </c>
      <c r="G463" t="s">
        <v>826</v>
      </c>
      <c r="H463" t="s">
        <v>827</v>
      </c>
      <c r="I463" t="s">
        <v>1940</v>
      </c>
      <c r="J463" s="8">
        <v>45596</v>
      </c>
      <c r="K463" t="s">
        <v>1941</v>
      </c>
      <c r="L463" t="s">
        <v>748</v>
      </c>
      <c r="M463">
        <v>381.73</v>
      </c>
      <c r="N463">
        <v>5</v>
      </c>
      <c r="O463" t="s">
        <v>58</v>
      </c>
      <c r="P463">
        <v>1</v>
      </c>
      <c r="Q463">
        <v>53</v>
      </c>
      <c r="R463" s="8">
        <v>45603</v>
      </c>
      <c r="S463" t="s">
        <v>1942</v>
      </c>
      <c r="T463" s="34">
        <f t="shared" si="56"/>
        <v>7</v>
      </c>
      <c r="U463" s="34">
        <f t="shared" si="57"/>
        <v>1908.65</v>
      </c>
      <c r="V463" s="34">
        <f t="shared" si="58"/>
        <v>1961.65</v>
      </c>
      <c r="W463" s="36">
        <f t="shared" si="63"/>
        <v>0.15</v>
      </c>
      <c r="X463" s="34">
        <f t="shared" si="59"/>
        <v>1667.4025000000001</v>
      </c>
      <c r="Y463" s="34" t="str">
        <f t="shared" si="60"/>
        <v>Edward Black</v>
      </c>
      <c r="Z463" s="34" t="str">
        <f t="shared" si="61"/>
        <v>Late</v>
      </c>
      <c r="AA463" s="34" t="str">
        <f t="shared" si="62"/>
        <v>gmail.com</v>
      </c>
    </row>
    <row r="464" spans="1:27" ht="14.25" customHeight="1" x14ac:dyDescent="0.3">
      <c r="A464" t="s">
        <v>1318</v>
      </c>
      <c r="B464" t="s">
        <v>1319</v>
      </c>
      <c r="C464" t="s">
        <v>1320</v>
      </c>
      <c r="D464">
        <v>43</v>
      </c>
      <c r="E464" t="s">
        <v>29</v>
      </c>
      <c r="F464" t="s">
        <v>140</v>
      </c>
      <c r="G464" t="s">
        <v>1321</v>
      </c>
      <c r="H464" t="s">
        <v>1322</v>
      </c>
      <c r="I464" t="s">
        <v>1943</v>
      </c>
      <c r="J464" s="8">
        <v>45087</v>
      </c>
      <c r="K464" t="s">
        <v>1944</v>
      </c>
      <c r="L464" t="s">
        <v>383</v>
      </c>
      <c r="M464">
        <v>431.44</v>
      </c>
      <c r="N464">
        <v>3</v>
      </c>
      <c r="O464" t="s">
        <v>58</v>
      </c>
      <c r="P464">
        <v>4</v>
      </c>
      <c r="Q464">
        <v>58</v>
      </c>
      <c r="R464" s="8">
        <v>45092</v>
      </c>
      <c r="S464" t="s">
        <v>1945</v>
      </c>
      <c r="T464" s="33">
        <f t="shared" si="56"/>
        <v>5</v>
      </c>
      <c r="U464" s="33">
        <f t="shared" si="57"/>
        <v>1294.32</v>
      </c>
      <c r="V464" s="33">
        <f t="shared" si="58"/>
        <v>1352.32</v>
      </c>
      <c r="W464" s="36">
        <f t="shared" si="63"/>
        <v>0.15</v>
      </c>
      <c r="X464" s="33">
        <f t="shared" si="59"/>
        <v>1149.472</v>
      </c>
      <c r="Y464" s="33" t="str">
        <f t="shared" si="60"/>
        <v>Jared Horn</v>
      </c>
      <c r="Z464" s="33" t="str">
        <f t="shared" si="61"/>
        <v>Late</v>
      </c>
      <c r="AA464" s="33" t="str">
        <f t="shared" si="62"/>
        <v>outlook.com</v>
      </c>
    </row>
    <row r="465" spans="1:27" ht="14.25" customHeight="1" x14ac:dyDescent="0.3">
      <c r="A465" t="s">
        <v>1614</v>
      </c>
      <c r="B465" t="s">
        <v>273</v>
      </c>
      <c r="C465" t="s">
        <v>1615</v>
      </c>
      <c r="D465">
        <v>62</v>
      </c>
      <c r="E465" t="s">
        <v>41</v>
      </c>
      <c r="F465" t="s">
        <v>42</v>
      </c>
      <c r="G465" t="s">
        <v>1616</v>
      </c>
      <c r="H465" t="s">
        <v>1617</v>
      </c>
      <c r="I465" t="s">
        <v>1946</v>
      </c>
      <c r="J465" s="8">
        <v>45393</v>
      </c>
      <c r="K465" t="s">
        <v>1947</v>
      </c>
      <c r="L465" t="s">
        <v>657</v>
      </c>
      <c r="M465">
        <v>235.63</v>
      </c>
      <c r="N465">
        <v>3</v>
      </c>
      <c r="O465" t="s">
        <v>63</v>
      </c>
      <c r="P465">
        <v>6</v>
      </c>
      <c r="Q465">
        <v>41</v>
      </c>
      <c r="R465" s="8">
        <v>45398</v>
      </c>
      <c r="S465" t="s">
        <v>1948</v>
      </c>
      <c r="T465" s="34">
        <f t="shared" si="56"/>
        <v>5</v>
      </c>
      <c r="U465" s="34">
        <f t="shared" si="57"/>
        <v>706.89</v>
      </c>
      <c r="V465" s="34">
        <f t="shared" si="58"/>
        <v>747.89</v>
      </c>
      <c r="W465" s="36">
        <f t="shared" si="63"/>
        <v>0</v>
      </c>
      <c r="X465" s="34">
        <f t="shared" si="59"/>
        <v>747.89</v>
      </c>
      <c r="Y465" s="34" t="str">
        <f t="shared" si="60"/>
        <v>Lauren Crane</v>
      </c>
      <c r="Z465" s="34" t="str">
        <f t="shared" si="61"/>
        <v>BeforeTime</v>
      </c>
      <c r="AA465" s="34" t="str">
        <f t="shared" si="62"/>
        <v>yahoo.com</v>
      </c>
    </row>
    <row r="466" spans="1:27" ht="14.25" customHeight="1" x14ac:dyDescent="0.3">
      <c r="A466" t="s">
        <v>165</v>
      </c>
      <c r="B466" t="s">
        <v>166</v>
      </c>
      <c r="C466" t="s">
        <v>167</v>
      </c>
      <c r="D466">
        <v>46</v>
      </c>
      <c r="E466" t="s">
        <v>29</v>
      </c>
      <c r="F466" t="s">
        <v>168</v>
      </c>
      <c r="G466" t="s">
        <v>169</v>
      </c>
      <c r="H466" t="s">
        <v>170</v>
      </c>
      <c r="I466" t="s">
        <v>1949</v>
      </c>
      <c r="J466" s="8">
        <v>45525</v>
      </c>
      <c r="K466" t="s">
        <v>1950</v>
      </c>
      <c r="L466" t="s">
        <v>344</v>
      </c>
      <c r="M466">
        <v>372.62</v>
      </c>
      <c r="N466">
        <v>4</v>
      </c>
      <c r="O466" t="s">
        <v>36</v>
      </c>
      <c r="P466">
        <v>3</v>
      </c>
      <c r="Q466">
        <v>48</v>
      </c>
      <c r="R466" s="8">
        <v>45530</v>
      </c>
      <c r="S466" t="s">
        <v>1951</v>
      </c>
      <c r="T466" s="33">
        <f t="shared" si="56"/>
        <v>5</v>
      </c>
      <c r="U466" s="33">
        <f t="shared" si="57"/>
        <v>1490.48</v>
      </c>
      <c r="V466" s="33">
        <f t="shared" si="58"/>
        <v>1538.48</v>
      </c>
      <c r="W466" s="36">
        <f t="shared" si="63"/>
        <v>0.08</v>
      </c>
      <c r="X466" s="33">
        <f t="shared" si="59"/>
        <v>1415.4016000000001</v>
      </c>
      <c r="Y466" s="33" t="str">
        <f t="shared" si="60"/>
        <v>Erin Miller</v>
      </c>
      <c r="Z466" s="33" t="str">
        <f t="shared" si="61"/>
        <v>Late</v>
      </c>
      <c r="AA466" s="33" t="str">
        <f t="shared" si="62"/>
        <v>gmail.com</v>
      </c>
    </row>
    <row r="467" spans="1:27" ht="14.25" customHeight="1" x14ac:dyDescent="0.3">
      <c r="A467" t="s">
        <v>316</v>
      </c>
      <c r="B467" t="s">
        <v>317</v>
      </c>
      <c r="C467" t="s">
        <v>318</v>
      </c>
      <c r="D467">
        <v>45</v>
      </c>
      <c r="E467" t="s">
        <v>29</v>
      </c>
      <c r="F467" t="s">
        <v>42</v>
      </c>
      <c r="G467" t="s">
        <v>319</v>
      </c>
      <c r="H467" t="s">
        <v>320</v>
      </c>
      <c r="I467" t="s">
        <v>1952</v>
      </c>
      <c r="J467" s="8">
        <v>45103</v>
      </c>
      <c r="K467" t="s">
        <v>1953</v>
      </c>
      <c r="L467" t="s">
        <v>637</v>
      </c>
      <c r="M467">
        <v>445.81</v>
      </c>
      <c r="N467">
        <v>3</v>
      </c>
      <c r="O467" t="s">
        <v>85</v>
      </c>
      <c r="P467">
        <v>1</v>
      </c>
      <c r="Q467">
        <v>58</v>
      </c>
      <c r="R467" s="8">
        <v>45109</v>
      </c>
      <c r="S467" t="s">
        <v>1954</v>
      </c>
      <c r="T467" s="34">
        <f t="shared" si="56"/>
        <v>6</v>
      </c>
      <c r="U467" s="34">
        <f t="shared" si="57"/>
        <v>1337.43</v>
      </c>
      <c r="V467" s="34">
        <f t="shared" si="58"/>
        <v>1395.43</v>
      </c>
      <c r="W467" s="36">
        <f t="shared" si="63"/>
        <v>0.2</v>
      </c>
      <c r="X467" s="34">
        <f t="shared" si="59"/>
        <v>1116.3440000000001</v>
      </c>
      <c r="Y467" s="34" t="str">
        <f t="shared" si="60"/>
        <v>Jenny Estrada</v>
      </c>
      <c r="Z467" s="34" t="str">
        <f t="shared" si="61"/>
        <v>Late</v>
      </c>
      <c r="AA467" s="34" t="str">
        <f t="shared" si="62"/>
        <v>yahoo.com</v>
      </c>
    </row>
    <row r="468" spans="1:27" ht="14.25" customHeight="1" x14ac:dyDescent="0.3">
      <c r="A468" t="s">
        <v>639</v>
      </c>
      <c r="B468" t="s">
        <v>148</v>
      </c>
      <c r="C468" t="s">
        <v>640</v>
      </c>
      <c r="D468">
        <v>44</v>
      </c>
      <c r="E468" t="s">
        <v>52</v>
      </c>
      <c r="F468" t="s">
        <v>90</v>
      </c>
      <c r="G468" t="s">
        <v>641</v>
      </c>
      <c r="H468" t="s">
        <v>642</v>
      </c>
      <c r="I468" t="s">
        <v>1955</v>
      </c>
      <c r="J468" s="8">
        <v>45410</v>
      </c>
      <c r="K468" t="s">
        <v>1956</v>
      </c>
      <c r="L468" t="s">
        <v>590</v>
      </c>
      <c r="M468">
        <v>403.03</v>
      </c>
      <c r="N468">
        <v>2</v>
      </c>
      <c r="O468" t="s">
        <v>58</v>
      </c>
      <c r="P468">
        <v>7</v>
      </c>
      <c r="Q468">
        <v>39</v>
      </c>
      <c r="R468" s="8">
        <v>45417</v>
      </c>
      <c r="S468" t="s">
        <v>1957</v>
      </c>
      <c r="T468" s="33">
        <f t="shared" si="56"/>
        <v>7</v>
      </c>
      <c r="U468" s="33">
        <f t="shared" si="57"/>
        <v>806.06</v>
      </c>
      <c r="V468" s="33">
        <f t="shared" si="58"/>
        <v>845.06</v>
      </c>
      <c r="W468" s="36">
        <f t="shared" si="63"/>
        <v>0.15</v>
      </c>
      <c r="X468" s="33">
        <f t="shared" si="59"/>
        <v>718.30099999999993</v>
      </c>
      <c r="Y468" s="33" t="str">
        <f t="shared" si="60"/>
        <v>Amy Ellis</v>
      </c>
      <c r="Z468" s="33" t="str">
        <f t="shared" si="61"/>
        <v>Intime</v>
      </c>
      <c r="AA468" s="33" t="str">
        <f t="shared" si="62"/>
        <v>gmail.com</v>
      </c>
    </row>
    <row r="469" spans="1:27" ht="14.25" customHeight="1" x14ac:dyDescent="0.3">
      <c r="A469" t="s">
        <v>894</v>
      </c>
      <c r="B469" t="s">
        <v>148</v>
      </c>
      <c r="C469" t="s">
        <v>895</v>
      </c>
      <c r="D469">
        <v>29</v>
      </c>
      <c r="E469" t="s">
        <v>29</v>
      </c>
      <c r="F469" t="s">
        <v>42</v>
      </c>
      <c r="G469" t="s">
        <v>896</v>
      </c>
      <c r="H469" t="s">
        <v>897</v>
      </c>
      <c r="I469" t="s">
        <v>1958</v>
      </c>
      <c r="J469" s="8">
        <v>45423</v>
      </c>
      <c r="K469" t="s">
        <v>1959</v>
      </c>
      <c r="L469" t="s">
        <v>356</v>
      </c>
      <c r="M469">
        <v>496.59</v>
      </c>
      <c r="N469">
        <v>5</v>
      </c>
      <c r="O469" t="s">
        <v>36</v>
      </c>
      <c r="P469">
        <v>3</v>
      </c>
      <c r="Q469">
        <v>61</v>
      </c>
      <c r="R469" s="8">
        <v>45425</v>
      </c>
      <c r="S469" t="s">
        <v>1960</v>
      </c>
      <c r="T469" s="34">
        <f t="shared" si="56"/>
        <v>2</v>
      </c>
      <c r="U469" s="34">
        <f t="shared" si="57"/>
        <v>2482.9499999999998</v>
      </c>
      <c r="V469" s="34">
        <f t="shared" si="58"/>
        <v>2543.9499999999998</v>
      </c>
      <c r="W469" s="36">
        <f t="shared" si="63"/>
        <v>0.08</v>
      </c>
      <c r="X469" s="34">
        <f t="shared" si="59"/>
        <v>2340.4339999999997</v>
      </c>
      <c r="Y469" s="34" t="str">
        <f t="shared" si="60"/>
        <v>Amy Griffin</v>
      </c>
      <c r="Z469" s="34" t="str">
        <f t="shared" si="61"/>
        <v>BeforeTime</v>
      </c>
      <c r="AA469" s="34" t="str">
        <f t="shared" si="62"/>
        <v>rediffmail.com</v>
      </c>
    </row>
    <row r="470" spans="1:27" ht="14.25" customHeight="1" x14ac:dyDescent="0.3">
      <c r="A470" t="s">
        <v>65</v>
      </c>
      <c r="B470" t="s">
        <v>66</v>
      </c>
      <c r="C470" t="s">
        <v>67</v>
      </c>
      <c r="D470">
        <v>49</v>
      </c>
      <c r="E470" t="s">
        <v>52</v>
      </c>
      <c r="F470" t="s">
        <v>30</v>
      </c>
      <c r="G470" t="s">
        <v>68</v>
      </c>
      <c r="H470" t="s">
        <v>69</v>
      </c>
      <c r="I470" t="s">
        <v>1961</v>
      </c>
      <c r="J470" s="8">
        <v>45377</v>
      </c>
      <c r="K470" t="s">
        <v>1962</v>
      </c>
      <c r="L470" t="s">
        <v>418</v>
      </c>
      <c r="M470">
        <v>44.5</v>
      </c>
      <c r="N470">
        <v>3</v>
      </c>
      <c r="O470" t="s">
        <v>85</v>
      </c>
      <c r="P470">
        <v>7</v>
      </c>
      <c r="Q470">
        <v>40</v>
      </c>
      <c r="R470" s="8">
        <v>45382</v>
      </c>
      <c r="S470" t="s">
        <v>1963</v>
      </c>
      <c r="T470" s="33">
        <f t="shared" si="56"/>
        <v>5</v>
      </c>
      <c r="U470" s="33">
        <f t="shared" si="57"/>
        <v>133.5</v>
      </c>
      <c r="V470" s="33">
        <f t="shared" si="58"/>
        <v>173.5</v>
      </c>
      <c r="W470" s="36">
        <f t="shared" si="63"/>
        <v>0.2</v>
      </c>
      <c r="X470" s="33">
        <f t="shared" si="59"/>
        <v>138.80000000000001</v>
      </c>
      <c r="Y470" s="33" t="str">
        <f t="shared" si="60"/>
        <v>Angela Horne</v>
      </c>
      <c r="Z470" s="33" t="str">
        <f t="shared" si="61"/>
        <v>BeforeTime</v>
      </c>
      <c r="AA470" s="33" t="str">
        <f t="shared" si="62"/>
        <v>outlook.com</v>
      </c>
    </row>
    <row r="471" spans="1:27" ht="14.25" customHeight="1" x14ac:dyDescent="0.3">
      <c r="A471" t="s">
        <v>1614</v>
      </c>
      <c r="B471" t="s">
        <v>273</v>
      </c>
      <c r="C471" t="s">
        <v>1615</v>
      </c>
      <c r="D471">
        <v>62</v>
      </c>
      <c r="E471" t="s">
        <v>41</v>
      </c>
      <c r="F471" t="s">
        <v>42</v>
      </c>
      <c r="G471" t="s">
        <v>1616</v>
      </c>
      <c r="H471" t="s">
        <v>1617</v>
      </c>
      <c r="I471" t="s">
        <v>1964</v>
      </c>
      <c r="J471" s="8">
        <v>45451</v>
      </c>
      <c r="K471" t="s">
        <v>1965</v>
      </c>
      <c r="L471" t="s">
        <v>270</v>
      </c>
      <c r="M471">
        <v>62.42</v>
      </c>
      <c r="N471">
        <v>5</v>
      </c>
      <c r="O471" t="s">
        <v>63</v>
      </c>
      <c r="P471">
        <v>2</v>
      </c>
      <c r="Q471">
        <v>47</v>
      </c>
      <c r="R471" s="8">
        <v>45453</v>
      </c>
      <c r="S471" t="s">
        <v>1966</v>
      </c>
      <c r="T471" s="34">
        <f t="shared" si="56"/>
        <v>2</v>
      </c>
      <c r="U471" s="34">
        <f t="shared" si="57"/>
        <v>312.10000000000002</v>
      </c>
      <c r="V471" s="34">
        <f t="shared" si="58"/>
        <v>359.1</v>
      </c>
      <c r="W471" s="36">
        <f t="shared" si="63"/>
        <v>0</v>
      </c>
      <c r="X471" s="34">
        <f t="shared" si="59"/>
        <v>359.1</v>
      </c>
      <c r="Y471" s="34" t="str">
        <f t="shared" si="60"/>
        <v>Lauren Crane</v>
      </c>
      <c r="Z471" s="34" t="str">
        <f t="shared" si="61"/>
        <v>Intime</v>
      </c>
      <c r="AA471" s="34" t="str">
        <f t="shared" si="62"/>
        <v>yahoo.com</v>
      </c>
    </row>
    <row r="472" spans="1:27" ht="14.25" customHeight="1" x14ac:dyDescent="0.3">
      <c r="A472" t="s">
        <v>705</v>
      </c>
      <c r="B472" t="s">
        <v>706</v>
      </c>
      <c r="C472" t="s">
        <v>707</v>
      </c>
      <c r="D472">
        <v>26</v>
      </c>
      <c r="E472" t="s">
        <v>52</v>
      </c>
      <c r="F472" t="s">
        <v>76</v>
      </c>
      <c r="G472" t="s">
        <v>708</v>
      </c>
      <c r="H472" t="s">
        <v>709</v>
      </c>
      <c r="I472" t="s">
        <v>1967</v>
      </c>
      <c r="J472" s="8">
        <v>45362</v>
      </c>
      <c r="K472" t="s">
        <v>1968</v>
      </c>
      <c r="L472" t="s">
        <v>481</v>
      </c>
      <c r="M472">
        <v>87.09</v>
      </c>
      <c r="N472">
        <v>4</v>
      </c>
      <c r="O472" t="s">
        <v>96</v>
      </c>
      <c r="P472">
        <v>5</v>
      </c>
      <c r="Q472">
        <v>45</v>
      </c>
      <c r="R472" s="8">
        <v>45368</v>
      </c>
      <c r="S472" t="s">
        <v>1969</v>
      </c>
      <c r="T472" s="33">
        <f t="shared" si="56"/>
        <v>6</v>
      </c>
      <c r="U472" s="33">
        <f t="shared" si="57"/>
        <v>348.36</v>
      </c>
      <c r="V472" s="33">
        <f t="shared" si="58"/>
        <v>393.36</v>
      </c>
      <c r="W472" s="36">
        <f t="shared" si="63"/>
        <v>0.1</v>
      </c>
      <c r="X472" s="33">
        <f t="shared" si="59"/>
        <v>354.024</v>
      </c>
      <c r="Y472" s="33" t="str">
        <f t="shared" si="60"/>
        <v>Gregory Lee</v>
      </c>
      <c r="Z472" s="33" t="str">
        <f t="shared" si="61"/>
        <v>Late</v>
      </c>
      <c r="AA472" s="33" t="str">
        <f t="shared" si="62"/>
        <v>rediffmail.com</v>
      </c>
    </row>
    <row r="473" spans="1:27" ht="14.25" customHeight="1" x14ac:dyDescent="0.3">
      <c r="A473" t="s">
        <v>293</v>
      </c>
      <c r="B473" t="s">
        <v>294</v>
      </c>
      <c r="C473" t="s">
        <v>295</v>
      </c>
      <c r="D473">
        <v>48</v>
      </c>
      <c r="E473" t="s">
        <v>41</v>
      </c>
      <c r="F473" t="s">
        <v>90</v>
      </c>
      <c r="G473" t="s">
        <v>296</v>
      </c>
      <c r="H473" t="s">
        <v>297</v>
      </c>
      <c r="I473" t="s">
        <v>1970</v>
      </c>
      <c r="J473" s="8">
        <v>45283</v>
      </c>
      <c r="K473" t="s">
        <v>1971</v>
      </c>
      <c r="L473" t="s">
        <v>340</v>
      </c>
      <c r="M473">
        <v>77.84</v>
      </c>
      <c r="N473">
        <v>4</v>
      </c>
      <c r="O473" t="s">
        <v>85</v>
      </c>
      <c r="P473">
        <v>5</v>
      </c>
      <c r="Q473">
        <v>55</v>
      </c>
      <c r="R473" s="8">
        <v>45286</v>
      </c>
      <c r="S473" t="s">
        <v>1972</v>
      </c>
      <c r="T473" s="34">
        <f t="shared" si="56"/>
        <v>3</v>
      </c>
      <c r="U473" s="34">
        <f t="shared" si="57"/>
        <v>311.36</v>
      </c>
      <c r="V473" s="34">
        <f t="shared" si="58"/>
        <v>366.36</v>
      </c>
      <c r="W473" s="36">
        <f t="shared" si="63"/>
        <v>0.2</v>
      </c>
      <c r="X473" s="34">
        <f t="shared" si="59"/>
        <v>293.08800000000002</v>
      </c>
      <c r="Y473" s="34" t="str">
        <f t="shared" si="60"/>
        <v>Heather Schneider</v>
      </c>
      <c r="Z473" s="34" t="str">
        <f t="shared" si="61"/>
        <v>BeforeTime</v>
      </c>
      <c r="AA473" s="34" t="str">
        <f t="shared" si="62"/>
        <v>outlook.com</v>
      </c>
    </row>
    <row r="474" spans="1:27" ht="14.25" customHeight="1" x14ac:dyDescent="0.3">
      <c r="A474" t="s">
        <v>1906</v>
      </c>
      <c r="B474" t="s">
        <v>1907</v>
      </c>
      <c r="C474" t="s">
        <v>1908</v>
      </c>
      <c r="D474">
        <v>43</v>
      </c>
      <c r="E474" t="s">
        <v>29</v>
      </c>
      <c r="F474" t="s">
        <v>42</v>
      </c>
      <c r="G474" t="s">
        <v>1909</v>
      </c>
      <c r="H474" t="s">
        <v>1910</v>
      </c>
      <c r="I474" t="s">
        <v>1973</v>
      </c>
      <c r="J474" s="8">
        <v>45012</v>
      </c>
      <c r="K474" t="s">
        <v>1974</v>
      </c>
      <c r="L474" t="s">
        <v>340</v>
      </c>
      <c r="M474">
        <v>77.84</v>
      </c>
      <c r="N474">
        <v>5</v>
      </c>
      <c r="O474" t="s">
        <v>96</v>
      </c>
      <c r="P474">
        <v>2</v>
      </c>
      <c r="Q474">
        <v>53</v>
      </c>
      <c r="R474" s="8">
        <v>45017</v>
      </c>
      <c r="S474" t="s">
        <v>1975</v>
      </c>
      <c r="T474" s="33">
        <f t="shared" si="56"/>
        <v>5</v>
      </c>
      <c r="U474" s="33">
        <f t="shared" si="57"/>
        <v>389.20000000000005</v>
      </c>
      <c r="V474" s="33">
        <f t="shared" si="58"/>
        <v>442.20000000000005</v>
      </c>
      <c r="W474" s="36">
        <f t="shared" si="63"/>
        <v>0.1</v>
      </c>
      <c r="X474" s="33">
        <f t="shared" si="59"/>
        <v>397.98000000000008</v>
      </c>
      <c r="Y474" s="33" t="str">
        <f t="shared" si="60"/>
        <v>Janice Gordon</v>
      </c>
      <c r="Z474" s="33" t="str">
        <f t="shared" si="61"/>
        <v>Late</v>
      </c>
      <c r="AA474" s="33" t="str">
        <f t="shared" si="62"/>
        <v>yahoo.com</v>
      </c>
    </row>
    <row r="475" spans="1:27" ht="14.25" customHeight="1" x14ac:dyDescent="0.3">
      <c r="A475" t="s">
        <v>475</v>
      </c>
      <c r="B475" t="s">
        <v>108</v>
      </c>
      <c r="C475" t="s">
        <v>476</v>
      </c>
      <c r="D475">
        <v>33</v>
      </c>
      <c r="E475" t="s">
        <v>29</v>
      </c>
      <c r="F475" t="s">
        <v>168</v>
      </c>
      <c r="G475" t="s">
        <v>477</v>
      </c>
      <c r="H475" t="s">
        <v>478</v>
      </c>
      <c r="I475" t="s">
        <v>1976</v>
      </c>
      <c r="J475" s="8">
        <v>45528</v>
      </c>
      <c r="K475" t="s">
        <v>1977</v>
      </c>
      <c r="L475" t="s">
        <v>234</v>
      </c>
      <c r="M475">
        <v>132.97</v>
      </c>
      <c r="N475">
        <v>4</v>
      </c>
      <c r="O475" t="s">
        <v>63</v>
      </c>
      <c r="P475">
        <v>6</v>
      </c>
      <c r="Q475">
        <v>63</v>
      </c>
      <c r="R475" s="8">
        <v>45535</v>
      </c>
      <c r="S475" t="s">
        <v>1978</v>
      </c>
      <c r="T475" s="34">
        <f t="shared" si="56"/>
        <v>7</v>
      </c>
      <c r="U475" s="34">
        <f t="shared" si="57"/>
        <v>531.88</v>
      </c>
      <c r="V475" s="34">
        <f t="shared" si="58"/>
        <v>594.88</v>
      </c>
      <c r="W475" s="36">
        <f t="shared" si="63"/>
        <v>0</v>
      </c>
      <c r="X475" s="34">
        <f t="shared" si="59"/>
        <v>594.88</v>
      </c>
      <c r="Y475" s="34" t="str">
        <f t="shared" si="60"/>
        <v>Debra Hayes</v>
      </c>
      <c r="Z475" s="34" t="str">
        <f t="shared" si="61"/>
        <v>Late</v>
      </c>
      <c r="AA475" s="34" t="str">
        <f t="shared" si="62"/>
        <v>yahoo.com</v>
      </c>
    </row>
    <row r="476" spans="1:27" ht="14.25" customHeight="1" x14ac:dyDescent="0.3">
      <c r="A476" t="s">
        <v>236</v>
      </c>
      <c r="B476" t="s">
        <v>66</v>
      </c>
      <c r="C476" t="s">
        <v>237</v>
      </c>
      <c r="D476">
        <v>52</v>
      </c>
      <c r="E476" t="s">
        <v>52</v>
      </c>
      <c r="F476" t="s">
        <v>42</v>
      </c>
      <c r="G476" t="s">
        <v>238</v>
      </c>
      <c r="H476" t="s">
        <v>239</v>
      </c>
      <c r="I476" t="s">
        <v>1979</v>
      </c>
      <c r="J476" s="8">
        <v>45354</v>
      </c>
      <c r="K476" t="s">
        <v>1980</v>
      </c>
      <c r="L476" t="s">
        <v>225</v>
      </c>
      <c r="M476">
        <v>461.07</v>
      </c>
      <c r="N476">
        <v>3</v>
      </c>
      <c r="O476" t="s">
        <v>58</v>
      </c>
      <c r="P476">
        <v>4</v>
      </c>
      <c r="Q476">
        <v>54</v>
      </c>
      <c r="R476" s="8">
        <v>45357</v>
      </c>
      <c r="S476" t="s">
        <v>1981</v>
      </c>
      <c r="T476" s="33">
        <f t="shared" si="56"/>
        <v>3</v>
      </c>
      <c r="U476" s="33">
        <f t="shared" si="57"/>
        <v>1383.21</v>
      </c>
      <c r="V476" s="33">
        <f t="shared" si="58"/>
        <v>1437.21</v>
      </c>
      <c r="W476" s="36">
        <f t="shared" si="63"/>
        <v>0.15</v>
      </c>
      <c r="X476" s="33">
        <f t="shared" si="59"/>
        <v>1221.6285</v>
      </c>
      <c r="Y476" s="33" t="str">
        <f t="shared" si="60"/>
        <v>Angela Evans</v>
      </c>
      <c r="Z476" s="33" t="str">
        <f t="shared" si="61"/>
        <v>BeforeTime</v>
      </c>
      <c r="AA476" s="33" t="str">
        <f t="shared" si="62"/>
        <v>outlook.com</v>
      </c>
    </row>
    <row r="477" spans="1:27" ht="14.25" customHeight="1" x14ac:dyDescent="0.3">
      <c r="A477" t="s">
        <v>646</v>
      </c>
      <c r="B477" t="s">
        <v>647</v>
      </c>
      <c r="C477" t="s">
        <v>648</v>
      </c>
      <c r="D477">
        <v>45</v>
      </c>
      <c r="E477" t="s">
        <v>52</v>
      </c>
      <c r="F477" t="s">
        <v>90</v>
      </c>
      <c r="G477" t="s">
        <v>649</v>
      </c>
      <c r="H477" t="s">
        <v>650</v>
      </c>
      <c r="I477" t="s">
        <v>1982</v>
      </c>
      <c r="J477" s="8">
        <v>45327</v>
      </c>
      <c r="K477" t="s">
        <v>1983</v>
      </c>
      <c r="L477" t="s">
        <v>47</v>
      </c>
      <c r="M477">
        <v>166.28</v>
      </c>
      <c r="N477">
        <v>1</v>
      </c>
      <c r="O477" t="s">
        <v>63</v>
      </c>
      <c r="P477">
        <v>2</v>
      </c>
      <c r="Q477">
        <v>38</v>
      </c>
      <c r="R477" s="8">
        <v>45328</v>
      </c>
      <c r="S477" t="s">
        <v>1984</v>
      </c>
      <c r="T477" s="34">
        <f t="shared" si="56"/>
        <v>1</v>
      </c>
      <c r="U477" s="34">
        <f t="shared" si="57"/>
        <v>166.28</v>
      </c>
      <c r="V477" s="34">
        <f t="shared" si="58"/>
        <v>204.28</v>
      </c>
      <c r="W477" s="36">
        <f t="shared" si="63"/>
        <v>0</v>
      </c>
      <c r="X477" s="34">
        <f t="shared" si="59"/>
        <v>204.28</v>
      </c>
      <c r="Y477" s="34" t="str">
        <f t="shared" si="60"/>
        <v>Beth Mason</v>
      </c>
      <c r="Z477" s="34" t="str">
        <f t="shared" si="61"/>
        <v>BeforeTime</v>
      </c>
      <c r="AA477" s="34" t="str">
        <f t="shared" si="62"/>
        <v>outlook.com</v>
      </c>
    </row>
    <row r="478" spans="1:27" ht="14.25" customHeight="1" x14ac:dyDescent="0.3">
      <c r="A478" t="s">
        <v>1932</v>
      </c>
      <c r="B478" t="s">
        <v>1933</v>
      </c>
      <c r="C478" t="s">
        <v>1934</v>
      </c>
      <c r="D478">
        <v>54</v>
      </c>
      <c r="E478" t="s">
        <v>41</v>
      </c>
      <c r="F478" t="s">
        <v>76</v>
      </c>
      <c r="G478" t="s">
        <v>1935</v>
      </c>
      <c r="H478" t="s">
        <v>1936</v>
      </c>
      <c r="I478" t="s">
        <v>1985</v>
      </c>
      <c r="J478" s="8">
        <v>45353</v>
      </c>
      <c r="K478" t="s">
        <v>1986</v>
      </c>
      <c r="L478" t="s">
        <v>573</v>
      </c>
      <c r="M478">
        <v>477.52</v>
      </c>
      <c r="N478">
        <v>4</v>
      </c>
      <c r="O478" t="s">
        <v>96</v>
      </c>
      <c r="P478">
        <v>3</v>
      </c>
      <c r="Q478">
        <v>54</v>
      </c>
      <c r="R478" s="8">
        <v>45354</v>
      </c>
      <c r="S478" t="s">
        <v>1987</v>
      </c>
      <c r="T478" s="33">
        <f t="shared" si="56"/>
        <v>1</v>
      </c>
      <c r="U478" s="33">
        <f t="shared" si="57"/>
        <v>1910.08</v>
      </c>
      <c r="V478" s="33">
        <f t="shared" si="58"/>
        <v>1964.08</v>
      </c>
      <c r="W478" s="36">
        <f t="shared" si="63"/>
        <v>0.1</v>
      </c>
      <c r="X478" s="33">
        <f t="shared" si="59"/>
        <v>1767.672</v>
      </c>
      <c r="Y478" s="33" t="str">
        <f t="shared" si="60"/>
        <v>Diana French</v>
      </c>
      <c r="Z478" s="33" t="str">
        <f t="shared" si="61"/>
        <v>BeforeTime</v>
      </c>
      <c r="AA478" s="33" t="str">
        <f t="shared" si="62"/>
        <v>outlook.com</v>
      </c>
    </row>
    <row r="479" spans="1:27" ht="14.25" customHeight="1" x14ac:dyDescent="0.3">
      <c r="A479" t="s">
        <v>401</v>
      </c>
      <c r="B479" t="s">
        <v>402</v>
      </c>
      <c r="C479" t="s">
        <v>403</v>
      </c>
      <c r="D479">
        <v>70</v>
      </c>
      <c r="E479" t="s">
        <v>29</v>
      </c>
      <c r="F479" t="s">
        <v>30</v>
      </c>
      <c r="G479" t="s">
        <v>404</v>
      </c>
      <c r="H479" t="s">
        <v>405</v>
      </c>
      <c r="I479" t="s">
        <v>1988</v>
      </c>
      <c r="J479" s="8">
        <v>45392</v>
      </c>
      <c r="K479" t="s">
        <v>488</v>
      </c>
      <c r="L479" t="s">
        <v>573</v>
      </c>
      <c r="M479">
        <v>477.52</v>
      </c>
      <c r="N479">
        <v>5</v>
      </c>
      <c r="O479" t="s">
        <v>96</v>
      </c>
      <c r="P479">
        <v>7</v>
      </c>
      <c r="Q479">
        <v>53</v>
      </c>
      <c r="R479" s="8">
        <v>45394</v>
      </c>
      <c r="S479" t="s">
        <v>1989</v>
      </c>
      <c r="T479" s="34">
        <f t="shared" si="56"/>
        <v>2</v>
      </c>
      <c r="U479" s="34">
        <f t="shared" si="57"/>
        <v>2387.6</v>
      </c>
      <c r="V479" s="34">
        <f t="shared" si="58"/>
        <v>2440.6</v>
      </c>
      <c r="W479" s="36">
        <f t="shared" si="63"/>
        <v>0.1</v>
      </c>
      <c r="X479" s="34">
        <f t="shared" si="59"/>
        <v>2196.54</v>
      </c>
      <c r="Y479" s="34" t="str">
        <f t="shared" si="60"/>
        <v>Alexandra Smith</v>
      </c>
      <c r="Z479" s="34" t="str">
        <f t="shared" si="61"/>
        <v>BeforeTime</v>
      </c>
      <c r="AA479" s="34" t="str">
        <f t="shared" si="62"/>
        <v>rediffmail.com</v>
      </c>
    </row>
    <row r="480" spans="1:27" ht="14.25" customHeight="1" x14ac:dyDescent="0.3">
      <c r="A480" t="s">
        <v>1906</v>
      </c>
      <c r="B480" t="s">
        <v>1907</v>
      </c>
      <c r="C480" t="s">
        <v>1908</v>
      </c>
      <c r="D480">
        <v>43</v>
      </c>
      <c r="E480" t="s">
        <v>29</v>
      </c>
      <c r="F480" t="s">
        <v>42</v>
      </c>
      <c r="G480" t="s">
        <v>1909</v>
      </c>
      <c r="H480" t="s">
        <v>1910</v>
      </c>
      <c r="I480" t="s">
        <v>1990</v>
      </c>
      <c r="J480" s="8">
        <v>45259</v>
      </c>
      <c r="K480" t="s">
        <v>1991</v>
      </c>
      <c r="L480" t="s">
        <v>291</v>
      </c>
      <c r="M480">
        <v>158.53</v>
      </c>
      <c r="N480">
        <v>2</v>
      </c>
      <c r="O480" t="s">
        <v>63</v>
      </c>
      <c r="P480">
        <v>5</v>
      </c>
      <c r="Q480">
        <v>69</v>
      </c>
      <c r="R480" s="8">
        <v>45261</v>
      </c>
      <c r="S480" t="s">
        <v>1992</v>
      </c>
      <c r="T480" s="33">
        <f t="shared" si="56"/>
        <v>2</v>
      </c>
      <c r="U480" s="33">
        <f t="shared" si="57"/>
        <v>317.06</v>
      </c>
      <c r="V480" s="33">
        <f t="shared" si="58"/>
        <v>386.06</v>
      </c>
      <c r="W480" s="36">
        <f t="shared" si="63"/>
        <v>0</v>
      </c>
      <c r="X480" s="33">
        <f t="shared" si="59"/>
        <v>386.06</v>
      </c>
      <c r="Y480" s="33" t="str">
        <f t="shared" si="60"/>
        <v>Janice Gordon</v>
      </c>
      <c r="Z480" s="33" t="str">
        <f t="shared" si="61"/>
        <v>BeforeTime</v>
      </c>
      <c r="AA480" s="33" t="str">
        <f t="shared" si="62"/>
        <v>yahoo.com</v>
      </c>
    </row>
    <row r="481" spans="1:27" ht="14.25" customHeight="1" x14ac:dyDescent="0.3">
      <c r="A481" t="s">
        <v>201</v>
      </c>
      <c r="B481" t="s">
        <v>202</v>
      </c>
      <c r="C481" t="s">
        <v>203</v>
      </c>
      <c r="D481">
        <v>23</v>
      </c>
      <c r="E481" t="s">
        <v>29</v>
      </c>
      <c r="F481" t="s">
        <v>90</v>
      </c>
      <c r="G481" t="s">
        <v>204</v>
      </c>
      <c r="H481" t="s">
        <v>205</v>
      </c>
      <c r="I481" t="s">
        <v>1993</v>
      </c>
      <c r="J481" s="8">
        <v>45373</v>
      </c>
      <c r="K481" t="s">
        <v>1994</v>
      </c>
      <c r="L481" t="s">
        <v>62</v>
      </c>
      <c r="M481">
        <v>405</v>
      </c>
      <c r="N481">
        <v>3</v>
      </c>
      <c r="O481" t="s">
        <v>96</v>
      </c>
      <c r="P481">
        <v>5</v>
      </c>
      <c r="Q481">
        <v>54</v>
      </c>
      <c r="R481" s="8">
        <v>45379</v>
      </c>
      <c r="S481" t="s">
        <v>1995</v>
      </c>
      <c r="T481" s="34">
        <f t="shared" si="56"/>
        <v>6</v>
      </c>
      <c r="U481" s="34">
        <f t="shared" si="57"/>
        <v>1215</v>
      </c>
      <c r="V481" s="34">
        <f t="shared" si="58"/>
        <v>1269</v>
      </c>
      <c r="W481" s="36">
        <f t="shared" si="63"/>
        <v>0.1</v>
      </c>
      <c r="X481" s="34">
        <f t="shared" si="59"/>
        <v>1142.1000000000001</v>
      </c>
      <c r="Y481" s="34" t="str">
        <f t="shared" si="60"/>
        <v>Deborah Bates</v>
      </c>
      <c r="Z481" s="34" t="str">
        <f t="shared" si="61"/>
        <v>Late</v>
      </c>
      <c r="AA481" s="34" t="str">
        <f t="shared" si="62"/>
        <v>yahoo.com</v>
      </c>
    </row>
    <row r="482" spans="1:27" ht="14.25" customHeight="1" x14ac:dyDescent="0.3">
      <c r="A482" t="s">
        <v>466</v>
      </c>
      <c r="B482" t="s">
        <v>467</v>
      </c>
      <c r="C482" t="s">
        <v>468</v>
      </c>
      <c r="D482">
        <v>18</v>
      </c>
      <c r="E482" t="s">
        <v>41</v>
      </c>
      <c r="F482" t="s">
        <v>42</v>
      </c>
      <c r="G482" t="s">
        <v>469</v>
      </c>
      <c r="H482" t="s">
        <v>470</v>
      </c>
      <c r="I482" t="s">
        <v>1996</v>
      </c>
      <c r="J482" s="8">
        <v>45380</v>
      </c>
      <c r="K482" t="s">
        <v>1997</v>
      </c>
      <c r="L482" t="s">
        <v>941</v>
      </c>
      <c r="M482">
        <v>107.47</v>
      </c>
      <c r="N482">
        <v>4</v>
      </c>
      <c r="O482" t="s">
        <v>96</v>
      </c>
      <c r="P482">
        <v>3</v>
      </c>
      <c r="Q482">
        <v>65</v>
      </c>
      <c r="R482" s="8">
        <v>45385</v>
      </c>
      <c r="S482" t="s">
        <v>1998</v>
      </c>
      <c r="T482" s="33">
        <f t="shared" si="56"/>
        <v>5</v>
      </c>
      <c r="U482" s="33">
        <f t="shared" si="57"/>
        <v>429.88</v>
      </c>
      <c r="V482" s="33">
        <f t="shared" si="58"/>
        <v>494.88</v>
      </c>
      <c r="W482" s="36">
        <f t="shared" si="63"/>
        <v>0.1</v>
      </c>
      <c r="X482" s="33">
        <f t="shared" si="59"/>
        <v>445.392</v>
      </c>
      <c r="Y482" s="33" t="str">
        <f t="shared" si="60"/>
        <v>Lori Cook</v>
      </c>
      <c r="Z482" s="33" t="str">
        <f t="shared" si="61"/>
        <v>Late</v>
      </c>
      <c r="AA482" s="33" t="str">
        <f t="shared" si="62"/>
        <v>rediffmail.com</v>
      </c>
    </row>
    <row r="483" spans="1:27" ht="14.25" customHeight="1" x14ac:dyDescent="0.3">
      <c r="A483" t="s">
        <v>483</v>
      </c>
      <c r="B483" t="s">
        <v>484</v>
      </c>
      <c r="C483" t="s">
        <v>130</v>
      </c>
      <c r="D483">
        <v>68</v>
      </c>
      <c r="E483" t="s">
        <v>52</v>
      </c>
      <c r="F483" t="s">
        <v>220</v>
      </c>
      <c r="G483" t="s">
        <v>485</v>
      </c>
      <c r="H483" t="s">
        <v>486</v>
      </c>
      <c r="I483" t="s">
        <v>1999</v>
      </c>
      <c r="J483" s="8">
        <v>45072</v>
      </c>
      <c r="K483" t="s">
        <v>2000</v>
      </c>
      <c r="L483" t="s">
        <v>250</v>
      </c>
      <c r="M483">
        <v>128.13999999999999</v>
      </c>
      <c r="N483">
        <v>3</v>
      </c>
      <c r="O483" t="s">
        <v>85</v>
      </c>
      <c r="P483">
        <v>2</v>
      </c>
      <c r="Q483">
        <v>59</v>
      </c>
      <c r="R483" s="8">
        <v>45076</v>
      </c>
      <c r="S483" t="s">
        <v>2001</v>
      </c>
      <c r="T483" s="34">
        <f t="shared" si="56"/>
        <v>4</v>
      </c>
      <c r="U483" s="34">
        <f t="shared" si="57"/>
        <v>384.41999999999996</v>
      </c>
      <c r="V483" s="34">
        <f t="shared" si="58"/>
        <v>443.41999999999996</v>
      </c>
      <c r="W483" s="36">
        <f t="shared" si="63"/>
        <v>0.2</v>
      </c>
      <c r="X483" s="34">
        <f t="shared" si="59"/>
        <v>354.73599999999999</v>
      </c>
      <c r="Y483" s="34" t="str">
        <f t="shared" si="60"/>
        <v>Brittany Stewart</v>
      </c>
      <c r="Z483" s="34" t="str">
        <f t="shared" si="61"/>
        <v>Late</v>
      </c>
      <c r="AA483" s="34" t="str">
        <f t="shared" si="62"/>
        <v>gmail.com</v>
      </c>
    </row>
    <row r="484" spans="1:27" ht="14.25" customHeight="1" x14ac:dyDescent="0.3">
      <c r="A484" t="s">
        <v>184</v>
      </c>
      <c r="B484" t="s">
        <v>185</v>
      </c>
      <c r="C484" t="s">
        <v>186</v>
      </c>
      <c r="D484">
        <v>42</v>
      </c>
      <c r="E484" t="s">
        <v>41</v>
      </c>
      <c r="F484" t="s">
        <v>168</v>
      </c>
      <c r="G484" t="s">
        <v>187</v>
      </c>
      <c r="H484" t="s">
        <v>188</v>
      </c>
      <c r="I484" t="s">
        <v>2002</v>
      </c>
      <c r="J484" s="8">
        <v>45290</v>
      </c>
      <c r="K484" t="s">
        <v>2003</v>
      </c>
      <c r="L484" t="s">
        <v>199</v>
      </c>
      <c r="M484">
        <v>20.7</v>
      </c>
      <c r="N484">
        <v>1</v>
      </c>
      <c r="O484" t="s">
        <v>96</v>
      </c>
      <c r="P484">
        <v>5</v>
      </c>
      <c r="Q484">
        <v>55</v>
      </c>
      <c r="R484" s="8">
        <v>45291</v>
      </c>
      <c r="S484" t="s">
        <v>2004</v>
      </c>
      <c r="T484" s="33">
        <f t="shared" si="56"/>
        <v>1</v>
      </c>
      <c r="U484" s="33">
        <f t="shared" si="57"/>
        <v>20.7</v>
      </c>
      <c r="V484" s="33">
        <f t="shared" si="58"/>
        <v>75.7</v>
      </c>
      <c r="W484" s="36">
        <f t="shared" si="63"/>
        <v>0.1</v>
      </c>
      <c r="X484" s="33">
        <f t="shared" si="59"/>
        <v>68.13000000000001</v>
      </c>
      <c r="Y484" s="33" t="str">
        <f t="shared" si="60"/>
        <v>Mallory Mitchell</v>
      </c>
      <c r="Z484" s="33" t="str">
        <f t="shared" si="61"/>
        <v>BeforeTime</v>
      </c>
      <c r="AA484" s="33" t="str">
        <f t="shared" si="62"/>
        <v>yahoo.com</v>
      </c>
    </row>
    <row r="485" spans="1:27" ht="14.25" customHeight="1" x14ac:dyDescent="0.3">
      <c r="A485" t="s">
        <v>184</v>
      </c>
      <c r="B485" t="s">
        <v>185</v>
      </c>
      <c r="C485" t="s">
        <v>186</v>
      </c>
      <c r="D485">
        <v>42</v>
      </c>
      <c r="E485" t="s">
        <v>41</v>
      </c>
      <c r="F485" t="s">
        <v>168</v>
      </c>
      <c r="G485" t="s">
        <v>187</v>
      </c>
      <c r="H485" t="s">
        <v>188</v>
      </c>
      <c r="I485" t="s">
        <v>2005</v>
      </c>
      <c r="J485" s="8">
        <v>45128</v>
      </c>
      <c r="K485" t="s">
        <v>2006</v>
      </c>
      <c r="L485" t="s">
        <v>270</v>
      </c>
      <c r="M485">
        <v>62.42</v>
      </c>
      <c r="N485">
        <v>3</v>
      </c>
      <c r="O485" t="s">
        <v>36</v>
      </c>
      <c r="P485">
        <v>6</v>
      </c>
      <c r="Q485">
        <v>39</v>
      </c>
      <c r="R485" s="8">
        <v>45129</v>
      </c>
      <c r="S485" t="s">
        <v>2007</v>
      </c>
      <c r="T485" s="34">
        <f t="shared" si="56"/>
        <v>1</v>
      </c>
      <c r="U485" s="34">
        <f t="shared" si="57"/>
        <v>187.26</v>
      </c>
      <c r="V485" s="34">
        <f t="shared" si="58"/>
        <v>226.26</v>
      </c>
      <c r="W485" s="36">
        <f t="shared" si="63"/>
        <v>0.08</v>
      </c>
      <c r="X485" s="34">
        <f t="shared" si="59"/>
        <v>208.1592</v>
      </c>
      <c r="Y485" s="34" t="str">
        <f t="shared" si="60"/>
        <v>Mallory Mitchell</v>
      </c>
      <c r="Z485" s="34" t="str">
        <f t="shared" si="61"/>
        <v>BeforeTime</v>
      </c>
      <c r="AA485" s="34" t="str">
        <f t="shared" si="62"/>
        <v>yahoo.com</v>
      </c>
    </row>
    <row r="486" spans="1:27" ht="14.25" customHeight="1" x14ac:dyDescent="0.3">
      <c r="A486" t="s">
        <v>192</v>
      </c>
      <c r="B486" t="s">
        <v>193</v>
      </c>
      <c r="C486" t="s">
        <v>194</v>
      </c>
      <c r="D486">
        <v>34</v>
      </c>
      <c r="E486" t="s">
        <v>29</v>
      </c>
      <c r="F486" t="s">
        <v>90</v>
      </c>
      <c r="G486" t="s">
        <v>195</v>
      </c>
      <c r="H486" t="s">
        <v>196</v>
      </c>
      <c r="I486" t="s">
        <v>2008</v>
      </c>
      <c r="J486" s="8">
        <v>45283</v>
      </c>
      <c r="K486" t="s">
        <v>2009</v>
      </c>
      <c r="L486" t="s">
        <v>323</v>
      </c>
      <c r="M486">
        <v>481.48</v>
      </c>
      <c r="N486">
        <v>1</v>
      </c>
      <c r="O486" t="s">
        <v>36</v>
      </c>
      <c r="P486">
        <v>5</v>
      </c>
      <c r="Q486">
        <v>70</v>
      </c>
      <c r="R486" s="8">
        <v>45287</v>
      </c>
      <c r="S486" t="s">
        <v>2010</v>
      </c>
      <c r="T486" s="33">
        <f t="shared" si="56"/>
        <v>4</v>
      </c>
      <c r="U486" s="33">
        <f t="shared" si="57"/>
        <v>481.48</v>
      </c>
      <c r="V486" s="33">
        <f t="shared" si="58"/>
        <v>551.48</v>
      </c>
      <c r="W486" s="36">
        <f t="shared" si="63"/>
        <v>0.08</v>
      </c>
      <c r="X486" s="33">
        <f t="shared" si="59"/>
        <v>507.36160000000007</v>
      </c>
      <c r="Y486" s="33" t="str">
        <f t="shared" si="60"/>
        <v>Traci Jones</v>
      </c>
      <c r="Z486" s="33" t="str">
        <f t="shared" si="61"/>
        <v>BeforeTime</v>
      </c>
      <c r="AA486" s="33" t="str">
        <f t="shared" si="62"/>
        <v>yahoo.com</v>
      </c>
    </row>
    <row r="487" spans="1:27" ht="14.25" customHeight="1" x14ac:dyDescent="0.3">
      <c r="A487" t="s">
        <v>325</v>
      </c>
      <c r="B487" t="s">
        <v>326</v>
      </c>
      <c r="C487" t="s">
        <v>327</v>
      </c>
      <c r="D487">
        <v>29</v>
      </c>
      <c r="E487" t="s">
        <v>52</v>
      </c>
      <c r="F487" t="s">
        <v>90</v>
      </c>
      <c r="G487" t="s">
        <v>328</v>
      </c>
      <c r="H487" t="s">
        <v>329</v>
      </c>
      <c r="I487" t="s">
        <v>2011</v>
      </c>
      <c r="J487" s="8">
        <v>45633</v>
      </c>
      <c r="K487" t="s">
        <v>2012</v>
      </c>
      <c r="L487" t="s">
        <v>35</v>
      </c>
      <c r="M487">
        <v>308.88</v>
      </c>
      <c r="N487">
        <v>3</v>
      </c>
      <c r="O487" t="s">
        <v>85</v>
      </c>
      <c r="P487">
        <v>5</v>
      </c>
      <c r="Q487">
        <v>68</v>
      </c>
      <c r="R487" s="8">
        <v>45636</v>
      </c>
      <c r="S487" t="s">
        <v>2013</v>
      </c>
      <c r="T487" s="34">
        <f t="shared" si="56"/>
        <v>3</v>
      </c>
      <c r="U487" s="34">
        <f t="shared" si="57"/>
        <v>926.64</v>
      </c>
      <c r="V487" s="34">
        <f t="shared" si="58"/>
        <v>994.64</v>
      </c>
      <c r="W487" s="36">
        <f t="shared" si="63"/>
        <v>0.2</v>
      </c>
      <c r="X487" s="34">
        <f t="shared" si="59"/>
        <v>795.71199999999999</v>
      </c>
      <c r="Y487" s="34" t="str">
        <f t="shared" si="60"/>
        <v>Courtney Parker</v>
      </c>
      <c r="Z487" s="34" t="str">
        <f t="shared" si="61"/>
        <v>BeforeTime</v>
      </c>
      <c r="AA487" s="34" t="str">
        <f t="shared" si="62"/>
        <v>yahoo.com</v>
      </c>
    </row>
    <row r="488" spans="1:27" ht="14.25" customHeight="1" x14ac:dyDescent="0.3">
      <c r="A488" t="s">
        <v>1238</v>
      </c>
      <c r="B488" t="s">
        <v>1239</v>
      </c>
      <c r="C488" t="s">
        <v>1240</v>
      </c>
      <c r="D488">
        <v>55</v>
      </c>
      <c r="E488" t="s">
        <v>41</v>
      </c>
      <c r="F488" t="s">
        <v>159</v>
      </c>
      <c r="G488" t="s">
        <v>1241</v>
      </c>
      <c r="H488" t="s">
        <v>1242</v>
      </c>
      <c r="I488" t="s">
        <v>2014</v>
      </c>
      <c r="J488" s="8">
        <v>45356</v>
      </c>
      <c r="K488" t="s">
        <v>2015</v>
      </c>
      <c r="L488" t="s">
        <v>114</v>
      </c>
      <c r="M488">
        <v>48.45</v>
      </c>
      <c r="N488">
        <v>3</v>
      </c>
      <c r="O488" t="s">
        <v>85</v>
      </c>
      <c r="P488">
        <v>6</v>
      </c>
      <c r="Q488">
        <v>43</v>
      </c>
      <c r="R488" s="8">
        <v>45358</v>
      </c>
      <c r="S488" t="s">
        <v>2016</v>
      </c>
      <c r="T488" s="33">
        <f t="shared" si="56"/>
        <v>2</v>
      </c>
      <c r="U488" s="33">
        <f t="shared" si="57"/>
        <v>145.35000000000002</v>
      </c>
      <c r="V488" s="33">
        <f t="shared" si="58"/>
        <v>188.35000000000002</v>
      </c>
      <c r="W488" s="36">
        <f t="shared" si="63"/>
        <v>0.2</v>
      </c>
      <c r="X488" s="33">
        <f t="shared" si="59"/>
        <v>150.68000000000004</v>
      </c>
      <c r="Y488" s="33" t="str">
        <f t="shared" si="60"/>
        <v>Hannah Gutierrez</v>
      </c>
      <c r="Z488" s="33" t="str">
        <f t="shared" si="61"/>
        <v>BeforeTime</v>
      </c>
      <c r="AA488" s="33" t="str">
        <f t="shared" si="62"/>
        <v>yahoo.com</v>
      </c>
    </row>
    <row r="489" spans="1:27" ht="14.25" customHeight="1" x14ac:dyDescent="0.3">
      <c r="A489" t="s">
        <v>128</v>
      </c>
      <c r="B489" t="s">
        <v>129</v>
      </c>
      <c r="C489" t="s">
        <v>130</v>
      </c>
      <c r="D489">
        <v>30</v>
      </c>
      <c r="E489" t="s">
        <v>41</v>
      </c>
      <c r="F489" t="s">
        <v>42</v>
      </c>
      <c r="G489" t="s">
        <v>131</v>
      </c>
      <c r="H489" t="s">
        <v>132</v>
      </c>
      <c r="I489" t="s">
        <v>2017</v>
      </c>
      <c r="J489" s="8">
        <v>45188</v>
      </c>
      <c r="K489" t="s">
        <v>2018</v>
      </c>
      <c r="L489" t="s">
        <v>941</v>
      </c>
      <c r="M489">
        <v>107.47</v>
      </c>
      <c r="N489">
        <v>4</v>
      </c>
      <c r="O489" t="s">
        <v>36</v>
      </c>
      <c r="P489">
        <v>2</v>
      </c>
      <c r="Q489">
        <v>35</v>
      </c>
      <c r="R489" s="8">
        <v>45191</v>
      </c>
      <c r="S489" t="s">
        <v>2019</v>
      </c>
      <c r="T489" s="34">
        <f t="shared" si="56"/>
        <v>3</v>
      </c>
      <c r="U489" s="34">
        <f t="shared" si="57"/>
        <v>429.88</v>
      </c>
      <c r="V489" s="34">
        <f t="shared" si="58"/>
        <v>464.88</v>
      </c>
      <c r="W489" s="36">
        <f t="shared" si="63"/>
        <v>0.08</v>
      </c>
      <c r="X489" s="34">
        <f t="shared" si="59"/>
        <v>427.68960000000004</v>
      </c>
      <c r="Y489" s="34" t="str">
        <f t="shared" si="60"/>
        <v>Joseph Stewart</v>
      </c>
      <c r="Z489" s="34" t="str">
        <f t="shared" si="61"/>
        <v>Late</v>
      </c>
      <c r="AA489" s="34" t="str">
        <f t="shared" si="62"/>
        <v>yahoo.com</v>
      </c>
    </row>
    <row r="490" spans="1:27" ht="14.25" customHeight="1" x14ac:dyDescent="0.3">
      <c r="A490" t="s">
        <v>385</v>
      </c>
      <c r="B490" t="s">
        <v>386</v>
      </c>
      <c r="C490" t="s">
        <v>387</v>
      </c>
      <c r="D490">
        <v>47</v>
      </c>
      <c r="E490" t="s">
        <v>41</v>
      </c>
      <c r="F490" t="s">
        <v>90</v>
      </c>
      <c r="G490" t="s">
        <v>388</v>
      </c>
      <c r="H490" t="s">
        <v>389</v>
      </c>
      <c r="I490" t="s">
        <v>2020</v>
      </c>
      <c r="J490" s="8">
        <v>45681</v>
      </c>
      <c r="K490" t="s">
        <v>2021</v>
      </c>
      <c r="L490" t="s">
        <v>518</v>
      </c>
      <c r="M490">
        <v>441.03</v>
      </c>
      <c r="N490">
        <v>5</v>
      </c>
      <c r="O490" t="s">
        <v>36</v>
      </c>
      <c r="P490">
        <v>5</v>
      </c>
      <c r="Q490">
        <v>62</v>
      </c>
      <c r="R490" s="8">
        <v>45682</v>
      </c>
      <c r="S490" t="s">
        <v>2022</v>
      </c>
      <c r="T490" s="33">
        <f t="shared" si="56"/>
        <v>1</v>
      </c>
      <c r="U490" s="33">
        <f t="shared" si="57"/>
        <v>2205.1499999999996</v>
      </c>
      <c r="V490" s="33">
        <f t="shared" si="58"/>
        <v>2267.1499999999996</v>
      </c>
      <c r="W490" s="36">
        <f t="shared" si="63"/>
        <v>0.08</v>
      </c>
      <c r="X490" s="33">
        <f t="shared" si="59"/>
        <v>2085.7779999999998</v>
      </c>
      <c r="Y490" s="33" t="str">
        <f t="shared" si="60"/>
        <v>Aaron Thompson</v>
      </c>
      <c r="Z490" s="33" t="str">
        <f t="shared" si="61"/>
        <v>BeforeTime</v>
      </c>
      <c r="AA490" s="33" t="str">
        <f t="shared" si="62"/>
        <v>gmail.com</v>
      </c>
    </row>
    <row r="491" spans="1:27" ht="14.25" customHeight="1" x14ac:dyDescent="0.3">
      <c r="A491" t="s">
        <v>575</v>
      </c>
      <c r="B491" t="s">
        <v>256</v>
      </c>
      <c r="C491" t="s">
        <v>576</v>
      </c>
      <c r="D491">
        <v>35</v>
      </c>
      <c r="E491" t="s">
        <v>29</v>
      </c>
      <c r="F491" t="s">
        <v>30</v>
      </c>
      <c r="G491" t="s">
        <v>577</v>
      </c>
      <c r="H491" t="s">
        <v>578</v>
      </c>
      <c r="I491" t="s">
        <v>2023</v>
      </c>
      <c r="J491" s="8">
        <v>45007</v>
      </c>
      <c r="K491" t="s">
        <v>2024</v>
      </c>
      <c r="L491" t="s">
        <v>984</v>
      </c>
      <c r="M491">
        <v>33.49</v>
      </c>
      <c r="N491">
        <v>4</v>
      </c>
      <c r="O491" t="s">
        <v>85</v>
      </c>
      <c r="P491">
        <v>7</v>
      </c>
      <c r="Q491">
        <v>54</v>
      </c>
      <c r="R491" s="8">
        <v>45008</v>
      </c>
      <c r="S491" t="s">
        <v>2025</v>
      </c>
      <c r="T491" s="34">
        <f t="shared" si="56"/>
        <v>1</v>
      </c>
      <c r="U491" s="34">
        <f t="shared" si="57"/>
        <v>133.96</v>
      </c>
      <c r="V491" s="34">
        <f t="shared" si="58"/>
        <v>187.96</v>
      </c>
      <c r="W491" s="36">
        <f t="shared" si="63"/>
        <v>0.2</v>
      </c>
      <c r="X491" s="34">
        <f t="shared" si="59"/>
        <v>150.36800000000002</v>
      </c>
      <c r="Y491" s="34" t="str">
        <f t="shared" si="60"/>
        <v>Ashley Romero</v>
      </c>
      <c r="Z491" s="34" t="str">
        <f t="shared" si="61"/>
        <v>BeforeTime</v>
      </c>
      <c r="AA491" s="34" t="str">
        <f t="shared" si="62"/>
        <v>yahoo.com</v>
      </c>
    </row>
    <row r="492" spans="1:27" ht="14.25" customHeight="1" x14ac:dyDescent="0.3">
      <c r="A492" t="s">
        <v>705</v>
      </c>
      <c r="B492" t="s">
        <v>706</v>
      </c>
      <c r="C492" t="s">
        <v>707</v>
      </c>
      <c r="D492">
        <v>26</v>
      </c>
      <c r="E492" t="s">
        <v>52</v>
      </c>
      <c r="F492" t="s">
        <v>76</v>
      </c>
      <c r="G492" t="s">
        <v>708</v>
      </c>
      <c r="H492" t="s">
        <v>709</v>
      </c>
      <c r="I492" t="s">
        <v>2026</v>
      </c>
      <c r="J492" s="8">
        <v>45204</v>
      </c>
      <c r="K492" t="s">
        <v>2027</v>
      </c>
      <c r="L492" t="s">
        <v>984</v>
      </c>
      <c r="M492">
        <v>33.49</v>
      </c>
      <c r="N492">
        <v>1</v>
      </c>
      <c r="O492" t="s">
        <v>58</v>
      </c>
      <c r="P492">
        <v>4</v>
      </c>
      <c r="Q492">
        <v>44</v>
      </c>
      <c r="R492" s="8">
        <v>45206</v>
      </c>
      <c r="S492" t="s">
        <v>2028</v>
      </c>
      <c r="T492" s="33">
        <f t="shared" si="56"/>
        <v>2</v>
      </c>
      <c r="U492" s="33">
        <f t="shared" si="57"/>
        <v>33.49</v>
      </c>
      <c r="V492" s="33">
        <f t="shared" si="58"/>
        <v>77.490000000000009</v>
      </c>
      <c r="W492" s="36">
        <f t="shared" si="63"/>
        <v>0.15</v>
      </c>
      <c r="X492" s="33">
        <f t="shared" si="59"/>
        <v>65.866500000000002</v>
      </c>
      <c r="Y492" s="33" t="str">
        <f t="shared" si="60"/>
        <v>Gregory Lee</v>
      </c>
      <c r="Z492" s="33" t="str">
        <f t="shared" si="61"/>
        <v>BeforeTime</v>
      </c>
      <c r="AA492" s="33" t="str">
        <f t="shared" si="62"/>
        <v>rediffmail.com</v>
      </c>
    </row>
    <row r="493" spans="1:27" ht="14.25" customHeight="1" x14ac:dyDescent="0.3">
      <c r="A493" t="s">
        <v>483</v>
      </c>
      <c r="B493" t="s">
        <v>484</v>
      </c>
      <c r="C493" t="s">
        <v>130</v>
      </c>
      <c r="D493">
        <v>68</v>
      </c>
      <c r="E493" t="s">
        <v>52</v>
      </c>
      <c r="F493" t="s">
        <v>220</v>
      </c>
      <c r="G493" t="s">
        <v>485</v>
      </c>
      <c r="H493" t="s">
        <v>486</v>
      </c>
      <c r="I493" t="s">
        <v>2029</v>
      </c>
      <c r="J493" s="8">
        <v>45590</v>
      </c>
      <c r="K493" t="s">
        <v>2030</v>
      </c>
      <c r="L493" t="s">
        <v>270</v>
      </c>
      <c r="M493">
        <v>62.42</v>
      </c>
      <c r="N493">
        <v>4</v>
      </c>
      <c r="O493" t="s">
        <v>63</v>
      </c>
      <c r="P493">
        <v>4</v>
      </c>
      <c r="Q493">
        <v>37</v>
      </c>
      <c r="R493" s="8">
        <v>45597</v>
      </c>
      <c r="S493" t="s">
        <v>2031</v>
      </c>
      <c r="T493" s="34">
        <f t="shared" si="56"/>
        <v>7</v>
      </c>
      <c r="U493" s="34">
        <f t="shared" si="57"/>
        <v>249.68</v>
      </c>
      <c r="V493" s="34">
        <f t="shared" si="58"/>
        <v>286.68</v>
      </c>
      <c r="W493" s="36">
        <f t="shared" si="63"/>
        <v>0</v>
      </c>
      <c r="X493" s="34">
        <f t="shared" si="59"/>
        <v>286.68</v>
      </c>
      <c r="Y493" s="34" t="str">
        <f t="shared" si="60"/>
        <v>Brittany Stewart</v>
      </c>
      <c r="Z493" s="34" t="str">
        <f t="shared" si="61"/>
        <v>Late</v>
      </c>
      <c r="AA493" s="34" t="str">
        <f t="shared" si="62"/>
        <v>gmail.com</v>
      </c>
    </row>
    <row r="494" spans="1:27" ht="14.25" customHeight="1" x14ac:dyDescent="0.3">
      <c r="A494" t="s">
        <v>358</v>
      </c>
      <c r="B494" t="s">
        <v>359</v>
      </c>
      <c r="C494" t="s">
        <v>360</v>
      </c>
      <c r="D494">
        <v>32</v>
      </c>
      <c r="E494" t="s">
        <v>41</v>
      </c>
      <c r="F494" t="s">
        <v>168</v>
      </c>
      <c r="G494" t="s">
        <v>361</v>
      </c>
      <c r="H494" t="s">
        <v>362</v>
      </c>
      <c r="I494" t="s">
        <v>2032</v>
      </c>
      <c r="J494" s="8">
        <v>45217</v>
      </c>
      <c r="K494" t="s">
        <v>2033</v>
      </c>
      <c r="L494" t="s">
        <v>308</v>
      </c>
      <c r="M494">
        <v>129.75</v>
      </c>
      <c r="N494">
        <v>1</v>
      </c>
      <c r="O494" t="s">
        <v>36</v>
      </c>
      <c r="P494">
        <v>7</v>
      </c>
      <c r="Q494">
        <v>56</v>
      </c>
      <c r="R494" s="8">
        <v>45219</v>
      </c>
      <c r="S494" t="s">
        <v>2034</v>
      </c>
      <c r="T494" s="33">
        <f t="shared" si="56"/>
        <v>2</v>
      </c>
      <c r="U494" s="33">
        <f t="shared" si="57"/>
        <v>129.75</v>
      </c>
      <c r="V494" s="33">
        <f t="shared" si="58"/>
        <v>185.75</v>
      </c>
      <c r="W494" s="36">
        <f t="shared" si="63"/>
        <v>0.08</v>
      </c>
      <c r="X494" s="33">
        <f t="shared" si="59"/>
        <v>170.89000000000001</v>
      </c>
      <c r="Y494" s="33" t="str">
        <f t="shared" si="60"/>
        <v>Robert Castillo</v>
      </c>
      <c r="Z494" s="33" t="str">
        <f t="shared" si="61"/>
        <v>BeforeTime</v>
      </c>
      <c r="AA494" s="33" t="str">
        <f t="shared" si="62"/>
        <v>gmail.com</v>
      </c>
    </row>
    <row r="495" spans="1:27" ht="14.25" customHeight="1" x14ac:dyDescent="0.3">
      <c r="A495" t="s">
        <v>175</v>
      </c>
      <c r="B495" t="s">
        <v>176</v>
      </c>
      <c r="C495" t="s">
        <v>177</v>
      </c>
      <c r="D495">
        <v>36</v>
      </c>
      <c r="E495" t="s">
        <v>52</v>
      </c>
      <c r="F495" t="s">
        <v>140</v>
      </c>
      <c r="G495" t="s">
        <v>178</v>
      </c>
      <c r="H495" t="s">
        <v>179</v>
      </c>
      <c r="I495" t="s">
        <v>2035</v>
      </c>
      <c r="J495" s="8">
        <v>45182</v>
      </c>
      <c r="K495" t="s">
        <v>2036</v>
      </c>
      <c r="L495" t="s">
        <v>199</v>
      </c>
      <c r="M495">
        <v>20.7</v>
      </c>
      <c r="N495">
        <v>4</v>
      </c>
      <c r="O495" t="s">
        <v>85</v>
      </c>
      <c r="P495">
        <v>1</v>
      </c>
      <c r="Q495">
        <v>61</v>
      </c>
      <c r="R495" s="8">
        <v>45184</v>
      </c>
      <c r="S495" t="s">
        <v>2037</v>
      </c>
      <c r="T495" s="34">
        <f t="shared" si="56"/>
        <v>2</v>
      </c>
      <c r="U495" s="34">
        <f t="shared" si="57"/>
        <v>82.8</v>
      </c>
      <c r="V495" s="34">
        <f t="shared" si="58"/>
        <v>143.80000000000001</v>
      </c>
      <c r="W495" s="36">
        <f t="shared" si="63"/>
        <v>0.2</v>
      </c>
      <c r="X495" s="34">
        <f t="shared" si="59"/>
        <v>115.04000000000002</v>
      </c>
      <c r="Y495" s="34" t="str">
        <f t="shared" si="60"/>
        <v>Gina Moreno</v>
      </c>
      <c r="Z495" s="34" t="str">
        <f t="shared" si="61"/>
        <v>Late</v>
      </c>
      <c r="AA495" s="34" t="str">
        <f t="shared" si="62"/>
        <v>rediffmail.com</v>
      </c>
    </row>
    <row r="496" spans="1:27" ht="14.25" customHeight="1" x14ac:dyDescent="0.3">
      <c r="A496" t="s">
        <v>137</v>
      </c>
      <c r="B496" t="s">
        <v>138</v>
      </c>
      <c r="C496" t="s">
        <v>139</v>
      </c>
      <c r="D496">
        <v>25</v>
      </c>
      <c r="E496" t="s">
        <v>52</v>
      </c>
      <c r="F496" t="s">
        <v>140</v>
      </c>
      <c r="G496" t="s">
        <v>141</v>
      </c>
      <c r="H496" t="s">
        <v>142</v>
      </c>
      <c r="I496" t="s">
        <v>2038</v>
      </c>
      <c r="J496" s="8">
        <v>45107</v>
      </c>
      <c r="K496" t="s">
        <v>2039</v>
      </c>
      <c r="L496" t="s">
        <v>154</v>
      </c>
      <c r="M496">
        <v>220.27</v>
      </c>
      <c r="N496">
        <v>3</v>
      </c>
      <c r="O496" t="s">
        <v>63</v>
      </c>
      <c r="P496">
        <v>4</v>
      </c>
      <c r="Q496">
        <v>50</v>
      </c>
      <c r="R496" s="8">
        <v>45108</v>
      </c>
      <c r="S496" t="s">
        <v>2040</v>
      </c>
      <c r="T496" s="33">
        <f t="shared" si="56"/>
        <v>1</v>
      </c>
      <c r="U496" s="33">
        <f t="shared" si="57"/>
        <v>660.81000000000006</v>
      </c>
      <c r="V496" s="33">
        <f t="shared" si="58"/>
        <v>710.81000000000006</v>
      </c>
      <c r="W496" s="36">
        <f t="shared" si="63"/>
        <v>0</v>
      </c>
      <c r="X496" s="33">
        <f t="shared" si="59"/>
        <v>710.81000000000006</v>
      </c>
      <c r="Y496" s="33" t="str">
        <f t="shared" si="60"/>
        <v>Kara Brennan</v>
      </c>
      <c r="Z496" s="33" t="str">
        <f t="shared" si="61"/>
        <v>BeforeTime</v>
      </c>
      <c r="AA496" s="33" t="str">
        <f t="shared" si="62"/>
        <v>outlook.com</v>
      </c>
    </row>
    <row r="497" spans="1:27" ht="14.25" customHeight="1" x14ac:dyDescent="0.3">
      <c r="A497" t="s">
        <v>217</v>
      </c>
      <c r="B497" t="s">
        <v>218</v>
      </c>
      <c r="C497" t="s">
        <v>219</v>
      </c>
      <c r="D497">
        <v>33</v>
      </c>
      <c r="E497" t="s">
        <v>52</v>
      </c>
      <c r="F497" t="s">
        <v>220</v>
      </c>
      <c r="G497" t="s">
        <v>221</v>
      </c>
      <c r="H497" t="s">
        <v>222</v>
      </c>
      <c r="I497" t="s">
        <v>2041</v>
      </c>
      <c r="J497" s="8">
        <v>45032</v>
      </c>
      <c r="K497" t="s">
        <v>2042</v>
      </c>
      <c r="L497" t="s">
        <v>653</v>
      </c>
      <c r="M497">
        <v>433.62</v>
      </c>
      <c r="N497">
        <v>2</v>
      </c>
      <c r="O497" t="s">
        <v>36</v>
      </c>
      <c r="P497">
        <v>7</v>
      </c>
      <c r="Q497">
        <v>56</v>
      </c>
      <c r="R497" s="8">
        <v>45039</v>
      </c>
      <c r="S497" t="s">
        <v>2043</v>
      </c>
      <c r="T497" s="34">
        <f t="shared" si="56"/>
        <v>7</v>
      </c>
      <c r="U497" s="34">
        <f t="shared" si="57"/>
        <v>867.24</v>
      </c>
      <c r="V497" s="34">
        <f t="shared" si="58"/>
        <v>923.24</v>
      </c>
      <c r="W497" s="36">
        <f t="shared" si="63"/>
        <v>0.08</v>
      </c>
      <c r="X497" s="34">
        <f t="shared" si="59"/>
        <v>849.38080000000002</v>
      </c>
      <c r="Y497" s="34" t="str">
        <f t="shared" si="60"/>
        <v>Mark Henderson</v>
      </c>
      <c r="Z497" s="34" t="str">
        <f t="shared" si="61"/>
        <v>Intime</v>
      </c>
      <c r="AA497" s="34" t="str">
        <f t="shared" si="62"/>
        <v>yahoo.com</v>
      </c>
    </row>
    <row r="498" spans="1:27" ht="14.25" customHeight="1" x14ac:dyDescent="0.3">
      <c r="A498" t="s">
        <v>1727</v>
      </c>
      <c r="B498" t="s">
        <v>1728</v>
      </c>
      <c r="C498" t="s">
        <v>368</v>
      </c>
      <c r="D498">
        <v>34</v>
      </c>
      <c r="E498" t="s">
        <v>52</v>
      </c>
      <c r="F498" t="s">
        <v>159</v>
      </c>
      <c r="G498" t="s">
        <v>1729</v>
      </c>
      <c r="H498" t="s">
        <v>1730</v>
      </c>
      <c r="I498" t="s">
        <v>2044</v>
      </c>
      <c r="J498" s="8">
        <v>45490</v>
      </c>
      <c r="K498" t="s">
        <v>2045</v>
      </c>
      <c r="L498" t="s">
        <v>250</v>
      </c>
      <c r="M498">
        <v>128.13999999999999</v>
      </c>
      <c r="N498">
        <v>3</v>
      </c>
      <c r="O498" t="s">
        <v>36</v>
      </c>
      <c r="P498">
        <v>5</v>
      </c>
      <c r="Q498">
        <v>49</v>
      </c>
      <c r="R498" s="8">
        <v>45495</v>
      </c>
      <c r="S498" t="s">
        <v>2046</v>
      </c>
      <c r="T498" s="33">
        <f t="shared" si="56"/>
        <v>5</v>
      </c>
      <c r="U498" s="33">
        <f t="shared" si="57"/>
        <v>384.41999999999996</v>
      </c>
      <c r="V498" s="33">
        <f t="shared" si="58"/>
        <v>433.41999999999996</v>
      </c>
      <c r="W498" s="36">
        <f t="shared" si="63"/>
        <v>0.08</v>
      </c>
      <c r="X498" s="33">
        <f t="shared" si="59"/>
        <v>398.74639999999999</v>
      </c>
      <c r="Y498" s="33" t="str">
        <f t="shared" si="60"/>
        <v>Katie Hicks</v>
      </c>
      <c r="Z498" s="33" t="str">
        <f t="shared" si="61"/>
        <v>Intime</v>
      </c>
      <c r="AA498" s="33" t="str">
        <f t="shared" si="62"/>
        <v>rediffmail.com</v>
      </c>
    </row>
    <row r="499" spans="1:27" ht="14.25" customHeight="1" x14ac:dyDescent="0.3">
      <c r="A499" t="s">
        <v>1932</v>
      </c>
      <c r="B499" t="s">
        <v>1933</v>
      </c>
      <c r="C499" t="s">
        <v>1934</v>
      </c>
      <c r="D499">
        <v>54</v>
      </c>
      <c r="E499" t="s">
        <v>41</v>
      </c>
      <c r="F499" t="s">
        <v>76</v>
      </c>
      <c r="G499" t="s">
        <v>1935</v>
      </c>
      <c r="H499" t="s">
        <v>1936</v>
      </c>
      <c r="I499" t="s">
        <v>2047</v>
      </c>
      <c r="J499" s="8">
        <v>45381</v>
      </c>
      <c r="K499" t="s">
        <v>2048</v>
      </c>
      <c r="L499" t="s">
        <v>173</v>
      </c>
      <c r="M499">
        <v>272.51</v>
      </c>
      <c r="N499">
        <v>5</v>
      </c>
      <c r="O499" t="s">
        <v>63</v>
      </c>
      <c r="P499">
        <v>3</v>
      </c>
      <c r="Q499">
        <v>66</v>
      </c>
      <c r="R499" s="8">
        <v>45388</v>
      </c>
      <c r="S499" t="s">
        <v>2049</v>
      </c>
      <c r="T499" s="34">
        <f t="shared" si="56"/>
        <v>7</v>
      </c>
      <c r="U499" s="34">
        <f t="shared" si="57"/>
        <v>1362.55</v>
      </c>
      <c r="V499" s="34">
        <f t="shared" si="58"/>
        <v>1428.55</v>
      </c>
      <c r="W499" s="36">
        <f t="shared" si="63"/>
        <v>0</v>
      </c>
      <c r="X499" s="34">
        <f t="shared" si="59"/>
        <v>1428.55</v>
      </c>
      <c r="Y499" s="34" t="str">
        <f t="shared" si="60"/>
        <v>Diana French</v>
      </c>
      <c r="Z499" s="34" t="str">
        <f t="shared" si="61"/>
        <v>Late</v>
      </c>
      <c r="AA499" s="34" t="str">
        <f t="shared" si="62"/>
        <v>outlook.com</v>
      </c>
    </row>
    <row r="500" spans="1:27" ht="14.25" customHeight="1" x14ac:dyDescent="0.3">
      <c r="A500" t="s">
        <v>420</v>
      </c>
      <c r="B500" t="s">
        <v>421</v>
      </c>
      <c r="C500" t="s">
        <v>422</v>
      </c>
      <c r="D500">
        <v>52</v>
      </c>
      <c r="E500" t="s">
        <v>52</v>
      </c>
      <c r="F500" t="s">
        <v>220</v>
      </c>
      <c r="G500" t="s">
        <v>423</v>
      </c>
      <c r="H500" t="s">
        <v>424</v>
      </c>
      <c r="I500" t="s">
        <v>2050</v>
      </c>
      <c r="J500" s="8">
        <v>45472</v>
      </c>
      <c r="K500" t="s">
        <v>2051</v>
      </c>
      <c r="L500" t="s">
        <v>686</v>
      </c>
      <c r="M500">
        <v>424.82</v>
      </c>
      <c r="N500">
        <v>2</v>
      </c>
      <c r="O500" t="s">
        <v>63</v>
      </c>
      <c r="P500">
        <v>6</v>
      </c>
      <c r="Q500">
        <v>63</v>
      </c>
      <c r="R500" s="8">
        <v>45477</v>
      </c>
      <c r="S500" t="s">
        <v>2052</v>
      </c>
      <c r="T500" s="33">
        <f t="shared" si="56"/>
        <v>5</v>
      </c>
      <c r="U500" s="33">
        <f t="shared" si="57"/>
        <v>849.64</v>
      </c>
      <c r="V500" s="33">
        <f t="shared" si="58"/>
        <v>912.64</v>
      </c>
      <c r="W500" s="36">
        <f t="shared" si="63"/>
        <v>0</v>
      </c>
      <c r="X500" s="33">
        <f t="shared" si="59"/>
        <v>912.64</v>
      </c>
      <c r="Y500" s="33" t="str">
        <f t="shared" si="60"/>
        <v>Amanda Howard</v>
      </c>
      <c r="Z500" s="33" t="str">
        <f t="shared" si="61"/>
        <v>BeforeTime</v>
      </c>
      <c r="AA500" s="33" t="str">
        <f t="shared" si="62"/>
        <v>outlook.com</v>
      </c>
    </row>
    <row r="501" spans="1:27" ht="14.25" customHeight="1" x14ac:dyDescent="0.3">
      <c r="A501" t="s">
        <v>236</v>
      </c>
      <c r="B501" t="s">
        <v>66</v>
      </c>
      <c r="C501" t="s">
        <v>237</v>
      </c>
      <c r="D501">
        <v>52</v>
      </c>
      <c r="E501" t="s">
        <v>52</v>
      </c>
      <c r="F501" t="s">
        <v>42</v>
      </c>
      <c r="G501" t="s">
        <v>238</v>
      </c>
      <c r="H501" t="s">
        <v>239</v>
      </c>
      <c r="I501" t="s">
        <v>2053</v>
      </c>
      <c r="J501" s="8">
        <v>45501</v>
      </c>
      <c r="K501" t="s">
        <v>2054</v>
      </c>
      <c r="L501" t="s">
        <v>418</v>
      </c>
      <c r="M501">
        <v>44.5</v>
      </c>
      <c r="N501">
        <v>4</v>
      </c>
      <c r="O501" t="s">
        <v>63</v>
      </c>
      <c r="P501">
        <v>3</v>
      </c>
      <c r="Q501">
        <v>45</v>
      </c>
      <c r="R501" s="8">
        <v>45504</v>
      </c>
      <c r="S501" t="s">
        <v>2055</v>
      </c>
      <c r="T501" s="34">
        <f t="shared" si="56"/>
        <v>3</v>
      </c>
      <c r="U501" s="34">
        <f t="shared" si="57"/>
        <v>178</v>
      </c>
      <c r="V501" s="34">
        <f t="shared" si="58"/>
        <v>223</v>
      </c>
      <c r="W501" s="36">
        <f t="shared" si="63"/>
        <v>0</v>
      </c>
      <c r="X501" s="34">
        <f t="shared" si="59"/>
        <v>223</v>
      </c>
      <c r="Y501" s="34" t="str">
        <f t="shared" si="60"/>
        <v>Angela Evans</v>
      </c>
      <c r="Z501" s="34" t="str">
        <f t="shared" si="61"/>
        <v>Intime</v>
      </c>
      <c r="AA501" s="34" t="str">
        <f t="shared" si="62"/>
        <v>outlook.com</v>
      </c>
    </row>
  </sheetData>
  <autoFilter ref="A1:S501" xr:uid="{00000000-0009-0000-0000-000000000000}">
    <sortState xmlns:xlrd2="http://schemas.microsoft.com/office/spreadsheetml/2017/richdata2" ref="A2:S501">
      <sortCondition ref="A2:A501"/>
    </sortState>
  </autoFilter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51"/>
  <sheetViews>
    <sheetView zoomScale="80" zoomScaleNormal="80" workbookViewId="0">
      <selection activeCell="M5" sqref="M5"/>
    </sheetView>
  </sheetViews>
  <sheetFormatPr defaultColWidth="8.6640625" defaultRowHeight="14.4" x14ac:dyDescent="0.3"/>
  <cols>
    <col min="2" max="2" width="44.21875" customWidth="1"/>
  </cols>
  <sheetData>
    <row r="2" spans="2:10" ht="14.25" customHeight="1" x14ac:dyDescent="0.3">
      <c r="B2" s="5" t="s">
        <v>2072</v>
      </c>
      <c r="C2" s="5"/>
      <c r="D2" s="5"/>
      <c r="E2" s="5"/>
      <c r="F2" s="5"/>
      <c r="G2" s="5"/>
      <c r="H2" s="5"/>
      <c r="I2" s="5"/>
      <c r="J2" s="5"/>
    </row>
    <row r="3" spans="2:10" ht="14.25" customHeight="1" x14ac:dyDescent="0.3">
      <c r="B3" s="4" t="s">
        <v>2073</v>
      </c>
      <c r="C3" s="4"/>
      <c r="G3" s="4" t="s">
        <v>2074</v>
      </c>
      <c r="H3" s="4"/>
      <c r="I3" s="4"/>
    </row>
    <row r="4" spans="2:10" ht="14.25" customHeight="1" x14ac:dyDescent="0.3">
      <c r="B4" t="s">
        <v>2075</v>
      </c>
      <c r="G4" t="s">
        <v>2076</v>
      </c>
    </row>
    <row r="5" spans="2:10" ht="14.25" customHeight="1" x14ac:dyDescent="0.3">
      <c r="B5" t="s">
        <v>2171</v>
      </c>
      <c r="G5" t="s">
        <v>2069</v>
      </c>
    </row>
    <row r="6" spans="2:10" ht="14.25" customHeight="1" x14ac:dyDescent="0.3">
      <c r="B6" t="s">
        <v>2172</v>
      </c>
      <c r="G6" t="s">
        <v>2077</v>
      </c>
    </row>
    <row r="7" spans="2:10" ht="14.25" customHeight="1" x14ac:dyDescent="0.3">
      <c r="B7" t="s">
        <v>2066</v>
      </c>
    </row>
    <row r="10" spans="2:10" ht="14.25" customHeight="1" x14ac:dyDescent="0.3">
      <c r="B10" s="18" t="s">
        <v>2078</v>
      </c>
      <c r="C10" s="19"/>
    </row>
    <row r="11" spans="2:10" ht="14.25" customHeight="1" x14ac:dyDescent="0.3">
      <c r="B11" t="s">
        <v>2079</v>
      </c>
    </row>
    <row r="12" spans="2:10" ht="14.25" customHeight="1" x14ac:dyDescent="0.3">
      <c r="B12" t="s">
        <v>2080</v>
      </c>
    </row>
    <row r="13" spans="2:10" ht="14.25" customHeight="1" x14ac:dyDescent="0.3">
      <c r="B13" t="s">
        <v>2081</v>
      </c>
    </row>
    <row r="16" spans="2:10" ht="14.25" customHeight="1" x14ac:dyDescent="0.3">
      <c r="B16" s="18" t="s">
        <v>2176</v>
      </c>
    </row>
    <row r="17" spans="2:14" ht="14.25" customHeight="1" x14ac:dyDescent="0.3">
      <c r="B17" t="s">
        <v>2082</v>
      </c>
    </row>
    <row r="18" spans="2:14" ht="14.25" customHeight="1" x14ac:dyDescent="0.3">
      <c r="B18" t="s">
        <v>2083</v>
      </c>
    </row>
    <row r="19" spans="2:14" ht="14.25" customHeight="1" x14ac:dyDescent="0.3">
      <c r="B19" t="s">
        <v>2084</v>
      </c>
    </row>
    <row r="20" spans="2:14" ht="14.25" customHeight="1" x14ac:dyDescent="0.3">
      <c r="B20" t="s">
        <v>2085</v>
      </c>
    </row>
    <row r="22" spans="2:14" ht="14.25" customHeight="1" x14ac:dyDescent="0.3">
      <c r="B22" s="3" t="s">
        <v>2086</v>
      </c>
      <c r="C22" s="3"/>
      <c r="D22" s="3"/>
      <c r="E22" s="3"/>
      <c r="F22" s="3"/>
      <c r="G22" s="3"/>
      <c r="H22" s="3"/>
      <c r="I22" s="3"/>
      <c r="J22" s="3"/>
    </row>
    <row r="24" spans="2:14" ht="14.25" customHeight="1" x14ac:dyDescent="0.3">
      <c r="B24" s="5" t="s">
        <v>2087</v>
      </c>
      <c r="C24" s="5"/>
      <c r="D24" s="5"/>
      <c r="E24" s="5"/>
      <c r="F24" s="5"/>
      <c r="G24" s="5"/>
    </row>
    <row r="26" spans="2:14" ht="14.25" customHeight="1" x14ac:dyDescent="0.3">
      <c r="B26" s="5" t="s">
        <v>2088</v>
      </c>
      <c r="C26" s="5"/>
      <c r="D26" s="5"/>
      <c r="E26" s="5"/>
      <c r="F26" s="5"/>
      <c r="G26" s="5"/>
      <c r="H26" s="5"/>
      <c r="I26" s="5"/>
      <c r="J26" s="5"/>
    </row>
    <row r="28" spans="2:14" ht="14.25" customHeight="1" x14ac:dyDescent="0.3">
      <c r="B28" s="5" t="s">
        <v>2089</v>
      </c>
      <c r="C28" s="5"/>
      <c r="D28" s="5"/>
      <c r="E28" s="5"/>
      <c r="F28" s="5"/>
      <c r="G28" s="5"/>
      <c r="H28" s="5"/>
      <c r="I28" s="5"/>
    </row>
    <row r="29" spans="2:14" ht="14.25" customHeight="1" x14ac:dyDescent="0.3">
      <c r="B29" s="5" t="s">
        <v>2177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1" spans="2:14" ht="14.25" customHeight="1" x14ac:dyDescent="0.3">
      <c r="B31" s="5" t="s">
        <v>2090</v>
      </c>
      <c r="C31" s="5"/>
      <c r="D31" s="5"/>
      <c r="E31" s="5"/>
      <c r="F31" s="5"/>
      <c r="G31" s="5"/>
      <c r="H31" s="5"/>
      <c r="I31" s="5"/>
    </row>
    <row r="33" spans="2:12" ht="14.25" customHeight="1" x14ac:dyDescent="0.3">
      <c r="B33" s="5" t="s">
        <v>2091</v>
      </c>
      <c r="C33" s="5"/>
      <c r="D33" s="5"/>
      <c r="E33" s="5"/>
      <c r="F33" s="5"/>
      <c r="G33" s="5"/>
      <c r="H33" s="5"/>
      <c r="I33" s="5"/>
      <c r="J33" s="5"/>
      <c r="K33" s="5"/>
      <c r="L33" s="5"/>
    </row>
    <row r="35" spans="2:12" ht="27.75" customHeight="1" x14ac:dyDescent="0.3">
      <c r="B35" s="2" t="s">
        <v>2092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8" spans="2:12" ht="14.25" customHeight="1" x14ac:dyDescent="0.3">
      <c r="B38" s="4" t="s">
        <v>2093</v>
      </c>
      <c r="C38" s="4"/>
      <c r="D38" s="4"/>
      <c r="E38" s="4"/>
      <c r="F38" s="4"/>
    </row>
    <row r="39" spans="2:12" ht="14.25" customHeight="1" x14ac:dyDescent="0.3">
      <c r="B39" t="s">
        <v>2094</v>
      </c>
    </row>
    <row r="40" spans="2:12" ht="14.25" customHeight="1" x14ac:dyDescent="0.3">
      <c r="B40" t="s">
        <v>2095</v>
      </c>
    </row>
    <row r="41" spans="2:12" ht="14.25" customHeight="1" x14ac:dyDescent="0.3">
      <c r="B41" t="s">
        <v>2096</v>
      </c>
    </row>
    <row r="42" spans="2:12" ht="14.25" customHeight="1" x14ac:dyDescent="0.3">
      <c r="B42" t="s">
        <v>2097</v>
      </c>
    </row>
    <row r="43" spans="2:12" ht="14.25" customHeight="1" x14ac:dyDescent="0.3">
      <c r="B43" t="s">
        <v>2098</v>
      </c>
    </row>
    <row r="44" spans="2:12" ht="14.25" customHeight="1" x14ac:dyDescent="0.3">
      <c r="B44" t="s">
        <v>2099</v>
      </c>
    </row>
    <row r="45" spans="2:12" ht="14.25" customHeight="1" x14ac:dyDescent="0.3">
      <c r="B45" t="s">
        <v>2100</v>
      </c>
    </row>
    <row r="46" spans="2:12" ht="14.25" customHeight="1" x14ac:dyDescent="0.3">
      <c r="B46" t="s">
        <v>2101</v>
      </c>
    </row>
    <row r="47" spans="2:12" ht="14.25" customHeight="1" x14ac:dyDescent="0.3">
      <c r="B47" t="s">
        <v>2102</v>
      </c>
    </row>
    <row r="48" spans="2:12" ht="14.25" customHeight="1" x14ac:dyDescent="0.3">
      <c r="B48" t="s">
        <v>2103</v>
      </c>
    </row>
    <row r="51" spans="2:2" ht="14.25" customHeight="1" x14ac:dyDescent="0.3">
      <c r="B51" s="20"/>
    </row>
  </sheetData>
  <mergeCells count="12">
    <mergeCell ref="B35:L35"/>
    <mergeCell ref="B38:F38"/>
    <mergeCell ref="B26:J26"/>
    <mergeCell ref="B28:I28"/>
    <mergeCell ref="B29:N29"/>
    <mergeCell ref="B31:I31"/>
    <mergeCell ref="B33:L33"/>
    <mergeCell ref="B2:J2"/>
    <mergeCell ref="B3:C3"/>
    <mergeCell ref="G3:I3"/>
    <mergeCell ref="B22:J22"/>
    <mergeCell ref="B24:G24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21"/>
  <sheetViews>
    <sheetView zoomScale="80" zoomScaleNormal="80" workbookViewId="0">
      <selection activeCell="N11" sqref="N11"/>
    </sheetView>
  </sheetViews>
  <sheetFormatPr defaultColWidth="8.6640625" defaultRowHeight="14.4" x14ac:dyDescent="0.3"/>
  <cols>
    <col min="1" max="1" width="3" customWidth="1"/>
    <col min="2" max="2" width="22" customWidth="1"/>
    <col min="3" max="3" width="36.33203125" customWidth="1"/>
    <col min="4" max="5" width="22" customWidth="1"/>
    <col min="6" max="6" width="3" customWidth="1"/>
    <col min="7" max="10" width="22" customWidth="1"/>
    <col min="11" max="11" width="3" customWidth="1"/>
    <col min="12" max="15" width="22" customWidth="1"/>
  </cols>
  <sheetData>
    <row r="1" spans="2:15" ht="34.5" customHeight="1" x14ac:dyDescent="0.3">
      <c r="B1" s="11"/>
      <c r="C1" s="11"/>
      <c r="D1" s="11"/>
      <c r="E1" s="11"/>
      <c r="F1" s="11"/>
      <c r="G1" s="11"/>
      <c r="H1" s="30" t="s">
        <v>2175</v>
      </c>
      <c r="I1" s="11"/>
      <c r="J1" s="11"/>
      <c r="K1" s="11"/>
      <c r="L1" s="11"/>
      <c r="M1" s="11"/>
      <c r="N1" s="11"/>
      <c r="O1" s="11"/>
    </row>
    <row r="2" spans="2:15" ht="15" customHeight="1" x14ac:dyDescent="0.3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2:15" ht="4.5" customHeight="1" x14ac:dyDescent="0.3"/>
    <row r="4" spans="2:15" ht="15" customHeight="1" x14ac:dyDescent="0.3">
      <c r="B4" s="13" t="s">
        <v>2056</v>
      </c>
      <c r="C4" s="13"/>
      <c r="D4" s="13"/>
      <c r="E4" s="13"/>
      <c r="G4" s="13" t="s">
        <v>2057</v>
      </c>
      <c r="H4" s="13"/>
      <c r="I4" s="13"/>
      <c r="J4" s="13"/>
      <c r="L4" s="13" t="s">
        <v>2058</v>
      </c>
      <c r="M4" s="13"/>
      <c r="N4" s="13"/>
      <c r="O4" s="13"/>
    </row>
    <row r="5" spans="2:15" ht="21.75" customHeight="1" x14ac:dyDescent="0.3">
      <c r="B5" s="14" t="s">
        <v>2059</v>
      </c>
      <c r="C5" s="14"/>
      <c r="D5" s="15"/>
      <c r="E5" s="15"/>
      <c r="G5" s="14" t="s">
        <v>2060</v>
      </c>
      <c r="H5" s="14"/>
      <c r="I5" s="15"/>
      <c r="J5" s="15"/>
      <c r="L5" s="14" t="s">
        <v>2061</v>
      </c>
      <c r="M5" s="14"/>
      <c r="N5" s="16">
        <f>SUM(data!U2:U501)</f>
        <v>364289.48999999982</v>
      </c>
      <c r="O5" s="16"/>
    </row>
    <row r="6" spans="2:15" x14ac:dyDescent="0.3">
      <c r="D6" s="28">
        <f>COUNTA(_xlfn.UNIQUE(data!A2:A501))</f>
        <v>100</v>
      </c>
      <c r="I6" s="28">
        <f>COUNTA(_xlfn.UNIQUE(data!L2:L501))</f>
        <v>50</v>
      </c>
    </row>
    <row r="7" spans="2:15" ht="21.75" customHeight="1" x14ac:dyDescent="0.3">
      <c r="B7" s="29" t="s">
        <v>2173</v>
      </c>
      <c r="C7" s="14"/>
      <c r="D7" s="17"/>
      <c r="E7" s="17"/>
      <c r="G7" s="14" t="s">
        <v>2062</v>
      </c>
      <c r="H7" s="14"/>
      <c r="I7" s="17"/>
      <c r="J7" s="17"/>
      <c r="L7" s="14" t="s">
        <v>2063</v>
      </c>
      <c r="M7" s="14"/>
      <c r="N7" s="16">
        <f>SUMPRODUCT(data!V2:V501,data!W2:W501)</f>
        <v>40687.910300000003</v>
      </c>
      <c r="O7" s="16"/>
    </row>
    <row r="8" spans="2:15" x14ac:dyDescent="0.3">
      <c r="D8" s="28" t="str" cm="1">
        <f t="array" ref="D8">INDEX(_xlfn.UNIQUE(data!A2:A501),MATCH(MAX(COUNTIF(data!A2:A501,_xlfn.UNIQUE(data!A2:A501))),COUNTIF(data!A2:A501,_xlfn.UNIQUE(data!A2:A501)),0))</f>
        <v>CID174</v>
      </c>
      <c r="I8" s="28" t="str" cm="1">
        <f t="array" ref="I8">INDEX(data!L2:L501,MATCH(MAX(SUMIF(data!L2:L501,data!L2:L501,data!N2:N501)),SUMIF(data!L2:L501,data!L2:L501,data!N2:N501),0))</f>
        <v>PID002</v>
      </c>
    </row>
    <row r="9" spans="2:15" ht="21.75" customHeight="1" x14ac:dyDescent="0.3">
      <c r="B9" s="29" t="s">
        <v>2172</v>
      </c>
      <c r="C9" s="14"/>
      <c r="D9" s="17"/>
      <c r="E9" s="17"/>
      <c r="G9" s="14" t="s">
        <v>2064</v>
      </c>
      <c r="H9" s="14"/>
      <c r="I9" s="17"/>
      <c r="J9" s="17"/>
      <c r="L9" s="14" t="s">
        <v>2065</v>
      </c>
      <c r="M9" s="14"/>
      <c r="N9" s="16">
        <f>SUM(data!X2:X501)</f>
        <v>349724.5797</v>
      </c>
      <c r="O9" s="16"/>
    </row>
    <row r="10" spans="2:15" x14ac:dyDescent="0.3">
      <c r="D10" s="28" t="str" cm="1">
        <f t="array" ref="D10">INDEX(data!Y2:Y501,MATCH(MAX(SUMIF(data!A2:A501,data!A2:A501,data!X2:X501)),SUMIF(data!A2:A501,data!A2:A501,data!X2:X501),0))</f>
        <v>Jodi Whitney</v>
      </c>
      <c r="I10" s="28" t="str" cm="1">
        <f t="array" ref="I10">INDEX(data!L2:L501,MATCH(MAX(SUMIF(data!L2:L501,data!L2:L501,data!X2:X501)),SUMIF(data!L2:L501,data!L2:L501,data!X2:X501),0))</f>
        <v>PID027</v>
      </c>
    </row>
    <row r="11" spans="2:15" ht="21.75" customHeight="1" x14ac:dyDescent="0.3">
      <c r="B11" s="14" t="s">
        <v>2066</v>
      </c>
      <c r="C11" s="14"/>
      <c r="D11" s="16"/>
      <c r="E11" s="16"/>
      <c r="L11" s="14" t="s">
        <v>2067</v>
      </c>
      <c r="M11" s="14"/>
      <c r="N11" s="16">
        <f>AVERAGE(data!U2:U501)</f>
        <v>728.57897999999966</v>
      </c>
      <c r="O11" s="16"/>
    </row>
    <row r="12" spans="2:15" x14ac:dyDescent="0.3">
      <c r="D12" s="28">
        <f>AVERAGE(data!D2:D501)</f>
        <v>42.124000000000002</v>
      </c>
    </row>
    <row r="16" spans="2:15" ht="15" customHeight="1" x14ac:dyDescent="0.3">
      <c r="B16" s="13"/>
      <c r="C16" s="31" t="s">
        <v>2074</v>
      </c>
      <c r="D16" s="13"/>
      <c r="E16" s="13"/>
    </row>
    <row r="17" spans="2:8" ht="21.75" customHeight="1" x14ac:dyDescent="0.3">
      <c r="B17" s="14" t="s">
        <v>2068</v>
      </c>
      <c r="C17" s="14"/>
      <c r="D17" s="15">
        <f>COUNTA(data!I2:I501)</f>
        <v>500</v>
      </c>
      <c r="E17" s="15"/>
    </row>
    <row r="19" spans="2:8" ht="21.75" customHeight="1" x14ac:dyDescent="0.3">
      <c r="B19" s="14" t="s">
        <v>2069</v>
      </c>
      <c r="C19" s="14"/>
      <c r="D19" s="16">
        <f>AVERAGE(data!T2:T501)</f>
        <v>4.0019999999999998</v>
      </c>
      <c r="E19" s="16"/>
    </row>
    <row r="21" spans="2:8" ht="21.75" customHeight="1" x14ac:dyDescent="0.3">
      <c r="B21" s="14" t="s">
        <v>2070</v>
      </c>
      <c r="C21" s="14"/>
      <c r="D21" s="15">
        <f>COUNTIF(data!O2:O501,"DEL0")</f>
        <v>102</v>
      </c>
      <c r="E21" s="15"/>
      <c r="H21" t="s">
        <v>2174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1"/>
  <sheetViews>
    <sheetView zoomScale="80" zoomScaleNormal="80" workbookViewId="0">
      <selection activeCell="Q14" sqref="Q14"/>
    </sheetView>
  </sheetViews>
  <sheetFormatPr defaultColWidth="8.6640625" defaultRowHeight="14.4" x14ac:dyDescent="0.3"/>
  <sheetData>
    <row r="1" spans="1:52" ht="30" customHeight="1" x14ac:dyDescent="0.3">
      <c r="A1" s="6" t="s">
        <v>2071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</sheetData>
  <mergeCells count="2">
    <mergeCell ref="A1:Z1"/>
    <mergeCell ref="AA1:AZ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zoomScale="80" zoomScaleNormal="80" workbookViewId="0">
      <selection activeCell="H3" sqref="H3"/>
    </sheetView>
  </sheetViews>
  <sheetFormatPr defaultColWidth="8.6640625" defaultRowHeight="14.4" x14ac:dyDescent="0.3"/>
  <cols>
    <col min="1" max="5" width="18" customWidth="1"/>
  </cols>
  <sheetData>
    <row r="1" spans="1:7" ht="27.75" customHeight="1" x14ac:dyDescent="0.3">
      <c r="A1" s="1" t="s">
        <v>2104</v>
      </c>
      <c r="B1" s="1"/>
      <c r="C1" s="1"/>
      <c r="D1" s="1"/>
      <c r="E1" s="1"/>
      <c r="F1" s="1"/>
      <c r="G1" s="1"/>
    </row>
    <row r="2" spans="1:7" ht="15" customHeight="1" x14ac:dyDescent="0.3">
      <c r="A2" s="21" t="s">
        <v>2105</v>
      </c>
      <c r="B2" s="21" t="s">
        <v>41</v>
      </c>
      <c r="C2" s="21" t="s">
        <v>29</v>
      </c>
      <c r="D2" s="21" t="s">
        <v>52</v>
      </c>
      <c r="E2" s="21" t="s">
        <v>2106</v>
      </c>
    </row>
    <row r="3" spans="1:7" ht="15" customHeight="1" x14ac:dyDescent="0.3">
      <c r="A3" s="9" t="s">
        <v>2107</v>
      </c>
      <c r="B3" s="22">
        <v>1080.95</v>
      </c>
      <c r="C3" s="22">
        <v>5634.55</v>
      </c>
      <c r="D3" s="22">
        <v>2246.0500000000002</v>
      </c>
      <c r="E3" s="22">
        <v>8961.5499999999993</v>
      </c>
    </row>
    <row r="4" spans="1:7" ht="15" customHeight="1" x14ac:dyDescent="0.3">
      <c r="A4" s="10" t="s">
        <v>2108</v>
      </c>
      <c r="B4" s="23">
        <v>3241.99</v>
      </c>
      <c r="C4" s="23">
        <v>3395.48</v>
      </c>
      <c r="D4" s="23">
        <v>5306.89</v>
      </c>
      <c r="E4" s="23">
        <v>11944.35</v>
      </c>
    </row>
    <row r="5" spans="1:7" ht="15" customHeight="1" x14ac:dyDescent="0.3">
      <c r="A5" s="9" t="s">
        <v>2109</v>
      </c>
      <c r="B5" s="22">
        <v>8393.67</v>
      </c>
      <c r="C5" s="22">
        <v>1878.39</v>
      </c>
      <c r="D5" s="22">
        <v>4602.16</v>
      </c>
      <c r="E5" s="22">
        <v>14874.23</v>
      </c>
    </row>
    <row r="6" spans="1:7" ht="15" customHeight="1" x14ac:dyDescent="0.3">
      <c r="A6" s="10" t="s">
        <v>2110</v>
      </c>
      <c r="B6" s="23">
        <v>2589.89</v>
      </c>
      <c r="C6" s="23">
        <v>3850.58</v>
      </c>
      <c r="D6" s="23">
        <v>3157.24</v>
      </c>
      <c r="E6" s="23">
        <v>9597.7099999999991</v>
      </c>
    </row>
    <row r="7" spans="1:7" ht="15" customHeight="1" x14ac:dyDescent="0.3">
      <c r="A7" s="9" t="s">
        <v>2111</v>
      </c>
      <c r="B7" s="22">
        <v>3144.38</v>
      </c>
      <c r="C7" s="22">
        <v>8283.18</v>
      </c>
      <c r="D7" s="22">
        <v>2963.04</v>
      </c>
      <c r="E7" s="22">
        <v>14390.6</v>
      </c>
    </row>
    <row r="8" spans="1:7" ht="15" customHeight="1" x14ac:dyDescent="0.3">
      <c r="A8" s="10" t="s">
        <v>2112</v>
      </c>
      <c r="B8" s="23">
        <v>5111.99</v>
      </c>
      <c r="C8" s="23">
        <v>7127.91</v>
      </c>
      <c r="D8" s="23">
        <v>8686.02</v>
      </c>
      <c r="E8" s="23">
        <v>20925.919999999998</v>
      </c>
    </row>
    <row r="9" spans="1:7" ht="15" customHeight="1" x14ac:dyDescent="0.3">
      <c r="A9" s="9" t="s">
        <v>2113</v>
      </c>
      <c r="B9" s="22">
        <v>2849.58</v>
      </c>
      <c r="C9" s="22">
        <v>3629.32</v>
      </c>
      <c r="D9" s="22">
        <v>3753.56</v>
      </c>
      <c r="E9" s="22">
        <v>10232.459999999999</v>
      </c>
    </row>
    <row r="10" spans="1:7" ht="15" customHeight="1" x14ac:dyDescent="0.3">
      <c r="A10" s="10" t="s">
        <v>2114</v>
      </c>
      <c r="B10" s="23">
        <v>3807.62</v>
      </c>
      <c r="C10" s="23">
        <v>5696.92</v>
      </c>
      <c r="D10" s="23">
        <v>4160.95</v>
      </c>
      <c r="E10" s="23">
        <v>13665.49</v>
      </c>
    </row>
    <row r="11" spans="1:7" ht="15" customHeight="1" x14ac:dyDescent="0.3">
      <c r="A11" s="9" t="s">
        <v>2115</v>
      </c>
      <c r="B11" s="22">
        <v>4174.71</v>
      </c>
      <c r="C11" s="22">
        <v>2936.91</v>
      </c>
      <c r="D11" s="22">
        <v>4474.5600000000004</v>
      </c>
      <c r="E11" s="22">
        <v>11586.18</v>
      </c>
    </row>
    <row r="12" spans="1:7" ht="15" customHeight="1" x14ac:dyDescent="0.3">
      <c r="A12" s="10" t="s">
        <v>2116</v>
      </c>
      <c r="B12" s="23">
        <v>1159.74</v>
      </c>
      <c r="C12" s="23">
        <v>4901</v>
      </c>
      <c r="D12" s="23">
        <v>7690.27</v>
      </c>
      <c r="E12" s="23">
        <v>13751</v>
      </c>
    </row>
    <row r="13" spans="1:7" ht="15" customHeight="1" x14ac:dyDescent="0.3">
      <c r="A13" s="9" t="s">
        <v>2117</v>
      </c>
      <c r="B13" s="22">
        <v>1824.81</v>
      </c>
      <c r="C13" s="22">
        <v>3244.41</v>
      </c>
      <c r="D13" s="22">
        <v>6250.1</v>
      </c>
      <c r="E13" s="22">
        <v>11319.31</v>
      </c>
    </row>
    <row r="14" spans="1:7" ht="15" customHeight="1" x14ac:dyDescent="0.3">
      <c r="A14" s="10" t="s">
        <v>2118</v>
      </c>
      <c r="B14" s="23">
        <v>1189.67</v>
      </c>
      <c r="C14" s="23">
        <v>2817.9</v>
      </c>
      <c r="D14" s="23">
        <v>7694.97</v>
      </c>
      <c r="E14" s="23">
        <v>11702.54</v>
      </c>
    </row>
    <row r="15" spans="1:7" ht="15" customHeight="1" x14ac:dyDescent="0.3">
      <c r="A15" s="9" t="s">
        <v>2119</v>
      </c>
      <c r="B15" s="22">
        <v>8394.76</v>
      </c>
      <c r="C15" s="22">
        <v>2034.18</v>
      </c>
      <c r="D15" s="22">
        <v>4578.4799999999996</v>
      </c>
      <c r="E15" s="22">
        <v>15007.43</v>
      </c>
    </row>
    <row r="16" spans="1:7" ht="15" customHeight="1" x14ac:dyDescent="0.3">
      <c r="A16" s="10" t="s">
        <v>2120</v>
      </c>
      <c r="B16" s="23">
        <v>8101.77</v>
      </c>
      <c r="C16" s="23">
        <v>4392.92</v>
      </c>
      <c r="D16" s="23">
        <v>2792.83</v>
      </c>
      <c r="E16" s="23">
        <v>15287.52</v>
      </c>
    </row>
    <row r="17" spans="1:5" ht="15" customHeight="1" x14ac:dyDescent="0.3">
      <c r="A17" s="9" t="s">
        <v>2121</v>
      </c>
      <c r="B17" s="22">
        <v>7874.27</v>
      </c>
      <c r="C17" s="22">
        <v>8398.18</v>
      </c>
      <c r="D17" s="22">
        <v>7596.53</v>
      </c>
      <c r="E17" s="22">
        <v>23868.98</v>
      </c>
    </row>
    <row r="18" spans="1:5" ht="15" customHeight="1" x14ac:dyDescent="0.3">
      <c r="A18" s="10" t="s">
        <v>2122</v>
      </c>
      <c r="B18" s="23">
        <v>1100.9100000000001</v>
      </c>
      <c r="C18" s="23">
        <v>4534.28</v>
      </c>
      <c r="D18" s="23">
        <v>7774.72</v>
      </c>
      <c r="E18" s="23">
        <v>13409.91</v>
      </c>
    </row>
    <row r="19" spans="1:5" ht="15" customHeight="1" x14ac:dyDescent="0.3">
      <c r="A19" s="9" t="s">
        <v>2123</v>
      </c>
      <c r="B19" s="22">
        <v>7129.07</v>
      </c>
      <c r="C19" s="22">
        <v>2380.0700000000002</v>
      </c>
      <c r="D19" s="22">
        <v>7856.32</v>
      </c>
      <c r="E19" s="22">
        <v>17365.46</v>
      </c>
    </row>
    <row r="20" spans="1:5" ht="15" customHeight="1" x14ac:dyDescent="0.3">
      <c r="A20" s="10" t="s">
        <v>2124</v>
      </c>
      <c r="B20" s="23">
        <v>3421.25</v>
      </c>
      <c r="C20" s="23">
        <v>7605.23</v>
      </c>
      <c r="D20" s="23">
        <v>7007.14</v>
      </c>
      <c r="E20" s="23">
        <v>18033.62</v>
      </c>
    </row>
    <row r="21" spans="1:5" ht="15" customHeight="1" x14ac:dyDescent="0.3">
      <c r="A21" s="9" t="s">
        <v>2125</v>
      </c>
      <c r="B21" s="22">
        <v>7536.79</v>
      </c>
      <c r="C21" s="22">
        <v>4617.05</v>
      </c>
      <c r="D21" s="22">
        <v>5559.96</v>
      </c>
      <c r="E21" s="22">
        <v>17713.8</v>
      </c>
    </row>
    <row r="22" spans="1:5" ht="15" customHeight="1" x14ac:dyDescent="0.3">
      <c r="A22" s="10" t="s">
        <v>2126</v>
      </c>
      <c r="B22" s="23">
        <v>1712.16</v>
      </c>
      <c r="C22" s="23">
        <v>4229.33</v>
      </c>
      <c r="D22" s="23">
        <v>6479.11</v>
      </c>
      <c r="E22" s="23">
        <v>12420.6</v>
      </c>
    </row>
    <row r="23" spans="1:5" ht="15" customHeight="1" x14ac:dyDescent="0.3">
      <c r="A23" s="9" t="s">
        <v>2127</v>
      </c>
      <c r="B23" s="22">
        <v>4009.3</v>
      </c>
      <c r="C23" s="22">
        <v>6679.51</v>
      </c>
      <c r="D23" s="22">
        <v>4085.11</v>
      </c>
      <c r="E23" s="22">
        <v>14773.93</v>
      </c>
    </row>
    <row r="24" spans="1:5" ht="15" customHeight="1" x14ac:dyDescent="0.3">
      <c r="A24" s="10" t="s">
        <v>2128</v>
      </c>
      <c r="B24" s="23">
        <v>2847.28</v>
      </c>
      <c r="C24" s="23">
        <v>808.56</v>
      </c>
      <c r="D24" s="23">
        <v>9495.06</v>
      </c>
      <c r="E24" s="23">
        <v>13150.91</v>
      </c>
    </row>
    <row r="25" spans="1:5" ht="15" customHeight="1" x14ac:dyDescent="0.3">
      <c r="A25" s="9" t="s">
        <v>2129</v>
      </c>
      <c r="B25" s="22">
        <v>3419.7</v>
      </c>
      <c r="C25" s="22">
        <v>3079.5</v>
      </c>
      <c r="D25" s="22">
        <v>8075.24</v>
      </c>
      <c r="E25" s="22">
        <v>14574.43</v>
      </c>
    </row>
    <row r="26" spans="1:5" ht="15" customHeight="1" x14ac:dyDescent="0.3">
      <c r="A26" s="10" t="s">
        <v>2130</v>
      </c>
      <c r="B26" s="23">
        <v>6874.2</v>
      </c>
      <c r="C26" s="23">
        <v>3668.15</v>
      </c>
      <c r="D26" s="23">
        <v>9109.02</v>
      </c>
      <c r="E26" s="23">
        <v>19651.37</v>
      </c>
    </row>
    <row r="27" spans="1:5" ht="15" customHeight="1" x14ac:dyDescent="0.3">
      <c r="A27" s="9" t="s">
        <v>2131</v>
      </c>
      <c r="B27" s="22">
        <v>0</v>
      </c>
      <c r="C27" s="22">
        <v>403.74</v>
      </c>
      <c r="D27" s="22">
        <v>1111.55</v>
      </c>
      <c r="E27" s="22">
        <v>1515.29</v>
      </c>
    </row>
    <row r="28" spans="1:5" ht="15" customHeight="1" x14ac:dyDescent="0.3">
      <c r="A28" s="24" t="s">
        <v>2106</v>
      </c>
      <c r="B28" s="25">
        <v>100990.45</v>
      </c>
      <c r="C28" s="25">
        <v>106227.25</v>
      </c>
      <c r="D28" s="25">
        <v>142506.88</v>
      </c>
      <c r="E28" s="25">
        <v>349724.58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7"/>
  <sheetViews>
    <sheetView zoomScaleNormal="100" workbookViewId="0"/>
  </sheetViews>
  <sheetFormatPr defaultColWidth="8.6640625" defaultRowHeight="14.4" x14ac:dyDescent="0.3"/>
  <sheetData>
    <row r="1" spans="1:2" ht="15" customHeight="1" x14ac:dyDescent="0.3">
      <c r="A1" s="26" t="s">
        <v>2132</v>
      </c>
    </row>
    <row r="2" spans="1:2" ht="15" customHeight="1" x14ac:dyDescent="0.3">
      <c r="A2" s="27" t="s">
        <v>2133</v>
      </c>
      <c r="B2" s="27" t="s">
        <v>2134</v>
      </c>
    </row>
    <row r="3" spans="1:2" ht="15" customHeight="1" x14ac:dyDescent="0.3">
      <c r="A3" t="s">
        <v>2135</v>
      </c>
      <c r="B3">
        <v>13121.12</v>
      </c>
    </row>
    <row r="4" spans="1:2" ht="15" customHeight="1" x14ac:dyDescent="0.3">
      <c r="A4" t="s">
        <v>2136</v>
      </c>
      <c r="B4">
        <v>8428.1</v>
      </c>
    </row>
    <row r="5" spans="1:2" ht="15" customHeight="1" x14ac:dyDescent="0.3">
      <c r="A5" t="s">
        <v>2137</v>
      </c>
      <c r="B5">
        <v>7999.85</v>
      </c>
    </row>
    <row r="6" spans="1:2" ht="15" customHeight="1" x14ac:dyDescent="0.3">
      <c r="A6" t="s">
        <v>2138</v>
      </c>
      <c r="B6">
        <v>7509.2</v>
      </c>
    </row>
    <row r="7" spans="1:2" ht="15" customHeight="1" x14ac:dyDescent="0.3">
      <c r="A7" t="s">
        <v>2139</v>
      </c>
      <c r="B7">
        <v>6873.93</v>
      </c>
    </row>
    <row r="8" spans="1:2" ht="15" customHeight="1" x14ac:dyDescent="0.3">
      <c r="A8" t="s">
        <v>2140</v>
      </c>
      <c r="B8">
        <v>6840.93</v>
      </c>
    </row>
    <row r="9" spans="1:2" ht="15" customHeight="1" x14ac:dyDescent="0.3">
      <c r="A9" t="s">
        <v>2141</v>
      </c>
      <c r="B9">
        <v>6810.7</v>
      </c>
    </row>
    <row r="10" spans="1:2" ht="15" customHeight="1" x14ac:dyDescent="0.3">
      <c r="A10" t="s">
        <v>2142</v>
      </c>
      <c r="B10">
        <v>6641.83</v>
      </c>
    </row>
    <row r="11" spans="1:2" ht="15" customHeight="1" x14ac:dyDescent="0.3">
      <c r="A11" t="s">
        <v>2143</v>
      </c>
      <c r="B11">
        <v>6640.58</v>
      </c>
    </row>
    <row r="12" spans="1:2" ht="15" customHeight="1" x14ac:dyDescent="0.3">
      <c r="A12" t="s">
        <v>2144</v>
      </c>
      <c r="B12">
        <v>6587.07</v>
      </c>
    </row>
    <row r="14" spans="1:2" ht="15" customHeight="1" x14ac:dyDescent="0.3">
      <c r="A14" s="26" t="s">
        <v>2145</v>
      </c>
    </row>
    <row r="15" spans="1:2" ht="15" customHeight="1" x14ac:dyDescent="0.3">
      <c r="A15" s="27" t="s">
        <v>2146</v>
      </c>
      <c r="B15" s="27" t="s">
        <v>2147</v>
      </c>
    </row>
    <row r="16" spans="1:2" ht="15" customHeight="1" x14ac:dyDescent="0.3">
      <c r="A16" t="s">
        <v>287</v>
      </c>
      <c r="B16">
        <v>17</v>
      </c>
    </row>
    <row r="17" spans="1:2" ht="15" customHeight="1" x14ac:dyDescent="0.3">
      <c r="A17" t="s">
        <v>95</v>
      </c>
      <c r="B17">
        <v>16</v>
      </c>
    </row>
    <row r="18" spans="1:2" ht="15" customHeight="1" x14ac:dyDescent="0.3">
      <c r="A18" t="s">
        <v>514</v>
      </c>
      <c r="B18">
        <v>15</v>
      </c>
    </row>
    <row r="19" spans="1:2" ht="15" customHeight="1" x14ac:dyDescent="0.3">
      <c r="A19" t="s">
        <v>323</v>
      </c>
      <c r="B19">
        <v>15</v>
      </c>
    </row>
    <row r="20" spans="1:2" ht="15" customHeight="1" x14ac:dyDescent="0.3">
      <c r="A20" t="s">
        <v>270</v>
      </c>
      <c r="B20">
        <v>15</v>
      </c>
    </row>
    <row r="21" spans="1:2" ht="15" customHeight="1" x14ac:dyDescent="0.3">
      <c r="A21" t="s">
        <v>344</v>
      </c>
      <c r="B21">
        <v>14</v>
      </c>
    </row>
    <row r="22" spans="1:2" ht="15" customHeight="1" x14ac:dyDescent="0.3">
      <c r="A22" t="s">
        <v>941</v>
      </c>
      <c r="B22">
        <v>14</v>
      </c>
    </row>
    <row r="23" spans="1:2" ht="15" customHeight="1" x14ac:dyDescent="0.3">
      <c r="A23" t="s">
        <v>553</v>
      </c>
      <c r="B23">
        <v>13</v>
      </c>
    </row>
    <row r="24" spans="1:2" ht="15" customHeight="1" x14ac:dyDescent="0.3">
      <c r="A24" t="s">
        <v>657</v>
      </c>
      <c r="B24">
        <v>13</v>
      </c>
    </row>
    <row r="25" spans="1:2" ht="15" customHeight="1" x14ac:dyDescent="0.3">
      <c r="A25" t="s">
        <v>173</v>
      </c>
      <c r="B25">
        <v>12</v>
      </c>
    </row>
    <row r="26" spans="1:2" ht="15" customHeight="1" x14ac:dyDescent="0.3">
      <c r="A26" t="s">
        <v>81</v>
      </c>
      <c r="B26">
        <v>12</v>
      </c>
    </row>
    <row r="27" spans="1:2" ht="15" customHeight="1" x14ac:dyDescent="0.3">
      <c r="A27" t="s">
        <v>114</v>
      </c>
      <c r="B27">
        <v>12</v>
      </c>
    </row>
    <row r="28" spans="1:2" ht="15" customHeight="1" x14ac:dyDescent="0.3">
      <c r="A28" t="s">
        <v>182</v>
      </c>
      <c r="B28">
        <v>12</v>
      </c>
    </row>
    <row r="29" spans="1:2" ht="15" customHeight="1" x14ac:dyDescent="0.3">
      <c r="A29" t="s">
        <v>199</v>
      </c>
      <c r="B29">
        <v>12</v>
      </c>
    </row>
    <row r="30" spans="1:2" ht="15" customHeight="1" x14ac:dyDescent="0.3">
      <c r="A30" t="s">
        <v>984</v>
      </c>
      <c r="B30">
        <v>12</v>
      </c>
    </row>
    <row r="31" spans="1:2" ht="15" customHeight="1" x14ac:dyDescent="0.3">
      <c r="A31" t="s">
        <v>430</v>
      </c>
      <c r="B31">
        <v>11</v>
      </c>
    </row>
    <row r="32" spans="1:2" ht="15" customHeight="1" x14ac:dyDescent="0.3">
      <c r="A32" t="s">
        <v>126</v>
      </c>
      <c r="B32">
        <v>11</v>
      </c>
    </row>
    <row r="33" spans="1:2" ht="15" customHeight="1" x14ac:dyDescent="0.3">
      <c r="A33" t="s">
        <v>356</v>
      </c>
      <c r="B33">
        <v>11</v>
      </c>
    </row>
    <row r="34" spans="1:2" ht="15" customHeight="1" x14ac:dyDescent="0.3">
      <c r="A34" t="s">
        <v>590</v>
      </c>
      <c r="B34">
        <v>11</v>
      </c>
    </row>
    <row r="35" spans="1:2" ht="15" customHeight="1" x14ac:dyDescent="0.3">
      <c r="A35" t="s">
        <v>495</v>
      </c>
      <c r="B35">
        <v>11</v>
      </c>
    </row>
    <row r="36" spans="1:2" ht="15" customHeight="1" x14ac:dyDescent="0.3">
      <c r="A36" t="s">
        <v>308</v>
      </c>
      <c r="B36">
        <v>11</v>
      </c>
    </row>
    <row r="37" spans="1:2" ht="15" customHeight="1" x14ac:dyDescent="0.3">
      <c r="A37" t="s">
        <v>250</v>
      </c>
      <c r="B37">
        <v>10</v>
      </c>
    </row>
    <row r="38" spans="1:2" ht="15" customHeight="1" x14ac:dyDescent="0.3">
      <c r="A38" t="s">
        <v>35</v>
      </c>
      <c r="B38">
        <v>10</v>
      </c>
    </row>
    <row r="39" spans="1:2" ht="15" customHeight="1" x14ac:dyDescent="0.3">
      <c r="A39" t="s">
        <v>291</v>
      </c>
      <c r="B39">
        <v>9</v>
      </c>
    </row>
    <row r="40" spans="1:2" ht="15" customHeight="1" x14ac:dyDescent="0.3">
      <c r="A40" t="s">
        <v>234</v>
      </c>
      <c r="B40">
        <v>9</v>
      </c>
    </row>
    <row r="41" spans="1:2" ht="15" customHeight="1" x14ac:dyDescent="0.3">
      <c r="A41" t="s">
        <v>563</v>
      </c>
      <c r="B41">
        <v>9</v>
      </c>
    </row>
    <row r="42" spans="1:2" ht="15" customHeight="1" x14ac:dyDescent="0.3">
      <c r="A42" t="s">
        <v>418</v>
      </c>
      <c r="B42">
        <v>9</v>
      </c>
    </row>
    <row r="43" spans="1:2" ht="15" customHeight="1" x14ac:dyDescent="0.3">
      <c r="A43" t="s">
        <v>518</v>
      </c>
      <c r="B43">
        <v>9</v>
      </c>
    </row>
    <row r="44" spans="1:2" ht="15" customHeight="1" x14ac:dyDescent="0.3">
      <c r="A44" t="s">
        <v>748</v>
      </c>
      <c r="B44">
        <v>9</v>
      </c>
    </row>
    <row r="45" spans="1:2" ht="15" customHeight="1" x14ac:dyDescent="0.3">
      <c r="A45" t="s">
        <v>135</v>
      </c>
      <c r="B45">
        <v>9</v>
      </c>
    </row>
    <row r="46" spans="1:2" ht="15" customHeight="1" x14ac:dyDescent="0.3">
      <c r="A46" t="s">
        <v>686</v>
      </c>
      <c r="B46">
        <v>9</v>
      </c>
    </row>
    <row r="47" spans="1:2" ht="15" customHeight="1" x14ac:dyDescent="0.3">
      <c r="A47" t="s">
        <v>62</v>
      </c>
      <c r="B47">
        <v>9</v>
      </c>
    </row>
    <row r="48" spans="1:2" ht="15" customHeight="1" x14ac:dyDescent="0.3">
      <c r="A48" t="s">
        <v>573</v>
      </c>
      <c r="B48">
        <v>8</v>
      </c>
    </row>
    <row r="49" spans="1:2" ht="15" customHeight="1" x14ac:dyDescent="0.3">
      <c r="A49" t="s">
        <v>637</v>
      </c>
      <c r="B49">
        <v>8</v>
      </c>
    </row>
    <row r="50" spans="1:2" ht="15" customHeight="1" x14ac:dyDescent="0.3">
      <c r="A50" t="s">
        <v>154</v>
      </c>
      <c r="B50">
        <v>8</v>
      </c>
    </row>
    <row r="51" spans="1:2" ht="15" customHeight="1" x14ac:dyDescent="0.3">
      <c r="A51" t="s">
        <v>383</v>
      </c>
      <c r="B51">
        <v>8</v>
      </c>
    </row>
    <row r="52" spans="1:2" ht="15" customHeight="1" x14ac:dyDescent="0.3">
      <c r="A52" t="s">
        <v>774</v>
      </c>
      <c r="B52">
        <v>8</v>
      </c>
    </row>
    <row r="53" spans="1:2" ht="15" customHeight="1" x14ac:dyDescent="0.3">
      <c r="A53" t="s">
        <v>47</v>
      </c>
      <c r="B53">
        <v>8</v>
      </c>
    </row>
    <row r="54" spans="1:2" ht="15" customHeight="1" x14ac:dyDescent="0.3">
      <c r="A54" t="s">
        <v>242</v>
      </c>
      <c r="B54">
        <v>8</v>
      </c>
    </row>
    <row r="55" spans="1:2" ht="15" customHeight="1" x14ac:dyDescent="0.3">
      <c r="A55" t="s">
        <v>246</v>
      </c>
      <c r="B55">
        <v>8</v>
      </c>
    </row>
    <row r="56" spans="1:2" ht="15" customHeight="1" x14ac:dyDescent="0.3">
      <c r="A56" t="s">
        <v>225</v>
      </c>
      <c r="B56">
        <v>7</v>
      </c>
    </row>
    <row r="57" spans="1:2" ht="15" customHeight="1" x14ac:dyDescent="0.3">
      <c r="A57" t="s">
        <v>481</v>
      </c>
      <c r="B57">
        <v>7</v>
      </c>
    </row>
    <row r="58" spans="1:2" ht="15" customHeight="1" x14ac:dyDescent="0.3">
      <c r="A58" t="s">
        <v>57</v>
      </c>
      <c r="B58">
        <v>7</v>
      </c>
    </row>
    <row r="59" spans="1:2" ht="15" customHeight="1" x14ac:dyDescent="0.3">
      <c r="A59" t="s">
        <v>653</v>
      </c>
      <c r="B59">
        <v>7</v>
      </c>
    </row>
    <row r="60" spans="1:2" ht="15" customHeight="1" x14ac:dyDescent="0.3">
      <c r="A60" t="s">
        <v>145</v>
      </c>
      <c r="B60">
        <v>7</v>
      </c>
    </row>
    <row r="61" spans="1:2" ht="15" customHeight="1" x14ac:dyDescent="0.3">
      <c r="A61" t="s">
        <v>871</v>
      </c>
      <c r="B61">
        <v>6</v>
      </c>
    </row>
    <row r="62" spans="1:2" ht="15" customHeight="1" x14ac:dyDescent="0.3">
      <c r="A62" t="s">
        <v>105</v>
      </c>
      <c r="B62">
        <v>6</v>
      </c>
    </row>
    <row r="63" spans="1:2" ht="15" customHeight="1" x14ac:dyDescent="0.3">
      <c r="A63" t="s">
        <v>473</v>
      </c>
      <c r="B63">
        <v>6</v>
      </c>
    </row>
    <row r="64" spans="1:2" ht="15" customHeight="1" x14ac:dyDescent="0.3">
      <c r="A64" t="s">
        <v>738</v>
      </c>
      <c r="B64">
        <v>6</v>
      </c>
    </row>
    <row r="65" spans="1:2" ht="15" customHeight="1" x14ac:dyDescent="0.3">
      <c r="A65" t="s">
        <v>340</v>
      </c>
      <c r="B65">
        <v>6</v>
      </c>
    </row>
    <row r="67" spans="1:2" ht="15" customHeight="1" x14ac:dyDescent="0.3">
      <c r="A67" s="26" t="s">
        <v>2148</v>
      </c>
    </row>
    <row r="68" spans="1:2" ht="15" customHeight="1" x14ac:dyDescent="0.3">
      <c r="A68" s="27" t="s">
        <v>5</v>
      </c>
      <c r="B68" s="27" t="s">
        <v>2149</v>
      </c>
    </row>
    <row r="69" spans="1:2" ht="15" customHeight="1" x14ac:dyDescent="0.3">
      <c r="A69" t="s">
        <v>42</v>
      </c>
      <c r="B69">
        <v>80</v>
      </c>
    </row>
    <row r="70" spans="1:2" ht="15" customHeight="1" x14ac:dyDescent="0.3">
      <c r="A70" t="s">
        <v>90</v>
      </c>
      <c r="B70">
        <v>72</v>
      </c>
    </row>
    <row r="71" spans="1:2" ht="15" customHeight="1" x14ac:dyDescent="0.3">
      <c r="A71" t="s">
        <v>168</v>
      </c>
      <c r="B71">
        <v>72</v>
      </c>
    </row>
    <row r="72" spans="1:2" ht="15" customHeight="1" x14ac:dyDescent="0.3">
      <c r="A72" t="s">
        <v>30</v>
      </c>
      <c r="B72">
        <v>66</v>
      </c>
    </row>
    <row r="73" spans="1:2" ht="15" customHeight="1" x14ac:dyDescent="0.3">
      <c r="A73" t="s">
        <v>220</v>
      </c>
      <c r="B73">
        <v>64</v>
      </c>
    </row>
    <row r="74" spans="1:2" ht="15" customHeight="1" x14ac:dyDescent="0.3">
      <c r="A74" t="s">
        <v>159</v>
      </c>
      <c r="B74">
        <v>51</v>
      </c>
    </row>
    <row r="75" spans="1:2" ht="15" customHeight="1" x14ac:dyDescent="0.3">
      <c r="A75" t="s">
        <v>76</v>
      </c>
      <c r="B75">
        <v>51</v>
      </c>
    </row>
    <row r="76" spans="1:2" ht="15" customHeight="1" x14ac:dyDescent="0.3">
      <c r="A76" t="s">
        <v>140</v>
      </c>
      <c r="B76">
        <v>44</v>
      </c>
    </row>
    <row r="78" spans="1:2" ht="15" customHeight="1" x14ac:dyDescent="0.3">
      <c r="A78" s="26" t="s">
        <v>2150</v>
      </c>
    </row>
    <row r="79" spans="1:2" ht="15" customHeight="1" x14ac:dyDescent="0.3">
      <c r="A79" s="27" t="s">
        <v>5</v>
      </c>
      <c r="B79" s="27" t="s">
        <v>2134</v>
      </c>
    </row>
    <row r="80" spans="1:2" ht="15" customHeight="1" x14ac:dyDescent="0.3">
      <c r="A80" t="s">
        <v>42</v>
      </c>
      <c r="B80">
        <v>60581.07</v>
      </c>
    </row>
    <row r="81" spans="1:2" ht="15" customHeight="1" x14ac:dyDescent="0.3">
      <c r="A81" t="s">
        <v>168</v>
      </c>
      <c r="B81">
        <v>50133.83</v>
      </c>
    </row>
    <row r="82" spans="1:2" ht="15" customHeight="1" x14ac:dyDescent="0.3">
      <c r="A82" t="s">
        <v>90</v>
      </c>
      <c r="B82">
        <v>48033.86</v>
      </c>
    </row>
    <row r="83" spans="1:2" ht="15" customHeight="1" x14ac:dyDescent="0.3">
      <c r="A83" t="s">
        <v>220</v>
      </c>
      <c r="B83">
        <v>46488.29</v>
      </c>
    </row>
    <row r="84" spans="1:2" ht="15" customHeight="1" x14ac:dyDescent="0.3">
      <c r="A84" t="s">
        <v>30</v>
      </c>
      <c r="B84">
        <v>45879.25</v>
      </c>
    </row>
    <row r="85" spans="1:2" ht="15" customHeight="1" x14ac:dyDescent="0.3">
      <c r="A85" t="s">
        <v>76</v>
      </c>
      <c r="B85">
        <v>40048.269999999997</v>
      </c>
    </row>
    <row r="86" spans="1:2" ht="15" customHeight="1" x14ac:dyDescent="0.3">
      <c r="A86" t="s">
        <v>159</v>
      </c>
      <c r="B86">
        <v>33544.93</v>
      </c>
    </row>
    <row r="87" spans="1:2" ht="15" customHeight="1" x14ac:dyDescent="0.3">
      <c r="A87" t="s">
        <v>140</v>
      </c>
      <c r="B87">
        <v>25015.1</v>
      </c>
    </row>
    <row r="89" spans="1:2" ht="15" customHeight="1" x14ac:dyDescent="0.3">
      <c r="A89" s="26" t="s">
        <v>2151</v>
      </c>
    </row>
    <row r="90" spans="1:2" ht="15" customHeight="1" x14ac:dyDescent="0.3">
      <c r="A90" s="27" t="s">
        <v>2146</v>
      </c>
      <c r="B90" s="27" t="s">
        <v>2152</v>
      </c>
    </row>
    <row r="91" spans="1:2" ht="15" customHeight="1" x14ac:dyDescent="0.3">
      <c r="A91" t="s">
        <v>323</v>
      </c>
      <c r="B91">
        <v>18975.54</v>
      </c>
    </row>
    <row r="92" spans="1:2" ht="15" customHeight="1" x14ac:dyDescent="0.3">
      <c r="A92" t="s">
        <v>95</v>
      </c>
      <c r="B92">
        <v>16540.57</v>
      </c>
    </row>
    <row r="93" spans="1:2" ht="15" customHeight="1" x14ac:dyDescent="0.3">
      <c r="A93" t="s">
        <v>553</v>
      </c>
      <c r="B93">
        <v>15918.95</v>
      </c>
    </row>
    <row r="94" spans="1:2" ht="15" customHeight="1" x14ac:dyDescent="0.3">
      <c r="A94" t="s">
        <v>356</v>
      </c>
      <c r="B94">
        <v>15374.89</v>
      </c>
    </row>
    <row r="95" spans="1:2" ht="15" customHeight="1" x14ac:dyDescent="0.3">
      <c r="A95" t="s">
        <v>495</v>
      </c>
      <c r="B95">
        <v>14616.77</v>
      </c>
    </row>
    <row r="96" spans="1:2" ht="15" customHeight="1" x14ac:dyDescent="0.3">
      <c r="A96" t="s">
        <v>114</v>
      </c>
      <c r="B96">
        <v>1772.39</v>
      </c>
    </row>
    <row r="97" spans="1:4" ht="15" customHeight="1" x14ac:dyDescent="0.3">
      <c r="A97" t="s">
        <v>984</v>
      </c>
      <c r="B97">
        <v>1492.14</v>
      </c>
    </row>
    <row r="98" spans="1:4" ht="15" customHeight="1" x14ac:dyDescent="0.3">
      <c r="A98" t="s">
        <v>418</v>
      </c>
      <c r="B98">
        <v>1463.31</v>
      </c>
    </row>
    <row r="99" spans="1:4" ht="15" customHeight="1" x14ac:dyDescent="0.3">
      <c r="A99" t="s">
        <v>199</v>
      </c>
      <c r="B99">
        <v>1263.68</v>
      </c>
    </row>
    <row r="100" spans="1:4" ht="15" customHeight="1" x14ac:dyDescent="0.3">
      <c r="A100" t="s">
        <v>774</v>
      </c>
      <c r="B100">
        <v>793.5</v>
      </c>
    </row>
    <row r="102" spans="1:4" ht="15" customHeight="1" x14ac:dyDescent="0.3">
      <c r="A102" s="26" t="s">
        <v>2153</v>
      </c>
    </row>
    <row r="103" spans="1:4" ht="15" customHeight="1" x14ac:dyDescent="0.3">
      <c r="A103" s="27" t="s">
        <v>2154</v>
      </c>
      <c r="B103" s="27" t="s">
        <v>2155</v>
      </c>
    </row>
    <row r="104" spans="1:4" ht="15" customHeight="1" x14ac:dyDescent="0.3">
      <c r="A104" t="s">
        <v>36</v>
      </c>
      <c r="B104">
        <v>111</v>
      </c>
    </row>
    <row r="105" spans="1:4" ht="15" customHeight="1" x14ac:dyDescent="0.3">
      <c r="A105" t="s">
        <v>85</v>
      </c>
      <c r="B105">
        <v>104</v>
      </c>
    </row>
    <row r="106" spans="1:4" ht="15" customHeight="1" x14ac:dyDescent="0.3">
      <c r="A106" t="s">
        <v>63</v>
      </c>
      <c r="B106">
        <v>102</v>
      </c>
    </row>
    <row r="107" spans="1:4" ht="15" customHeight="1" x14ac:dyDescent="0.3">
      <c r="A107" t="s">
        <v>96</v>
      </c>
      <c r="B107">
        <v>100</v>
      </c>
    </row>
    <row r="108" spans="1:4" ht="15" customHeight="1" x14ac:dyDescent="0.3">
      <c r="A108" t="s">
        <v>58</v>
      </c>
      <c r="B108">
        <v>83</v>
      </c>
    </row>
    <row r="110" spans="1:4" ht="15" customHeight="1" x14ac:dyDescent="0.3">
      <c r="A110" s="26" t="s">
        <v>2156</v>
      </c>
    </row>
    <row r="111" spans="1:4" ht="15" customHeight="1" x14ac:dyDescent="0.3">
      <c r="A111" s="27" t="s">
        <v>2105</v>
      </c>
      <c r="B111" s="27" t="s">
        <v>41</v>
      </c>
      <c r="C111" s="27" t="s">
        <v>29</v>
      </c>
      <c r="D111" s="27" t="s">
        <v>52</v>
      </c>
    </row>
    <row r="112" spans="1:4" ht="15" customHeight="1" x14ac:dyDescent="0.3">
      <c r="A112" t="s">
        <v>2107</v>
      </c>
      <c r="B112">
        <v>1080.95</v>
      </c>
      <c r="C112">
        <v>5634.55</v>
      </c>
      <c r="D112">
        <v>2246.0500000000002</v>
      </c>
    </row>
    <row r="113" spans="1:4" ht="15" customHeight="1" x14ac:dyDescent="0.3">
      <c r="A113" t="s">
        <v>2108</v>
      </c>
      <c r="B113">
        <v>3241.99</v>
      </c>
      <c r="C113">
        <v>3395.48</v>
      </c>
      <c r="D113">
        <v>5306.89</v>
      </c>
    </row>
    <row r="114" spans="1:4" ht="15" customHeight="1" x14ac:dyDescent="0.3">
      <c r="A114" t="s">
        <v>2109</v>
      </c>
      <c r="B114">
        <v>8393.67</v>
      </c>
      <c r="C114">
        <v>1878.39</v>
      </c>
      <c r="D114">
        <v>4602.16</v>
      </c>
    </row>
    <row r="115" spans="1:4" ht="15" customHeight="1" x14ac:dyDescent="0.3">
      <c r="A115" t="s">
        <v>2110</v>
      </c>
      <c r="B115">
        <v>2589.89</v>
      </c>
      <c r="C115">
        <v>3850.58</v>
      </c>
      <c r="D115">
        <v>3157.24</v>
      </c>
    </row>
    <row r="116" spans="1:4" ht="15" customHeight="1" x14ac:dyDescent="0.3">
      <c r="A116" t="s">
        <v>2111</v>
      </c>
      <c r="B116">
        <v>3144.38</v>
      </c>
      <c r="C116">
        <v>8283.18</v>
      </c>
      <c r="D116">
        <v>2963.04</v>
      </c>
    </row>
    <row r="117" spans="1:4" ht="15" customHeight="1" x14ac:dyDescent="0.3">
      <c r="A117" t="s">
        <v>2112</v>
      </c>
      <c r="B117">
        <v>5111.99</v>
      </c>
      <c r="C117">
        <v>7127.91</v>
      </c>
      <c r="D117">
        <v>8686.02</v>
      </c>
    </row>
    <row r="118" spans="1:4" ht="15" customHeight="1" x14ac:dyDescent="0.3">
      <c r="A118" t="s">
        <v>2113</v>
      </c>
      <c r="B118">
        <v>2849.58</v>
      </c>
      <c r="C118">
        <v>3629.32</v>
      </c>
      <c r="D118">
        <v>3753.56</v>
      </c>
    </row>
    <row r="119" spans="1:4" ht="15" customHeight="1" x14ac:dyDescent="0.3">
      <c r="A119" t="s">
        <v>2114</v>
      </c>
      <c r="B119">
        <v>3807.62</v>
      </c>
      <c r="C119">
        <v>5696.92</v>
      </c>
      <c r="D119">
        <v>4160.95</v>
      </c>
    </row>
    <row r="120" spans="1:4" ht="15" customHeight="1" x14ac:dyDescent="0.3">
      <c r="A120" t="s">
        <v>2115</v>
      </c>
      <c r="B120">
        <v>4174.71</v>
      </c>
      <c r="C120">
        <v>2936.91</v>
      </c>
      <c r="D120">
        <v>4474.5600000000004</v>
      </c>
    </row>
    <row r="121" spans="1:4" ht="15" customHeight="1" x14ac:dyDescent="0.3">
      <c r="A121" t="s">
        <v>2116</v>
      </c>
      <c r="B121">
        <v>1159.74</v>
      </c>
      <c r="C121">
        <v>4901</v>
      </c>
      <c r="D121">
        <v>7690.27</v>
      </c>
    </row>
    <row r="122" spans="1:4" ht="15" customHeight="1" x14ac:dyDescent="0.3">
      <c r="A122" t="s">
        <v>2117</v>
      </c>
      <c r="B122">
        <v>1824.81</v>
      </c>
      <c r="C122">
        <v>3244.41</v>
      </c>
      <c r="D122">
        <v>6250.1</v>
      </c>
    </row>
    <row r="123" spans="1:4" ht="15" customHeight="1" x14ac:dyDescent="0.3">
      <c r="A123" t="s">
        <v>2118</v>
      </c>
      <c r="B123">
        <v>1189.67</v>
      </c>
      <c r="C123">
        <v>2817.9</v>
      </c>
      <c r="D123">
        <v>7694.97</v>
      </c>
    </row>
    <row r="124" spans="1:4" ht="15" customHeight="1" x14ac:dyDescent="0.3">
      <c r="A124" t="s">
        <v>2119</v>
      </c>
      <c r="B124">
        <v>8394.76</v>
      </c>
      <c r="C124">
        <v>2034.18</v>
      </c>
      <c r="D124">
        <v>4578.4799999999996</v>
      </c>
    </row>
    <row r="125" spans="1:4" ht="15" customHeight="1" x14ac:dyDescent="0.3">
      <c r="A125" t="s">
        <v>2120</v>
      </c>
      <c r="B125">
        <v>8101.77</v>
      </c>
      <c r="C125">
        <v>4392.92</v>
      </c>
      <c r="D125">
        <v>2792.83</v>
      </c>
    </row>
    <row r="126" spans="1:4" ht="15" customHeight="1" x14ac:dyDescent="0.3">
      <c r="A126" t="s">
        <v>2121</v>
      </c>
      <c r="B126">
        <v>7874.27</v>
      </c>
      <c r="C126">
        <v>8398.18</v>
      </c>
      <c r="D126">
        <v>7596.53</v>
      </c>
    </row>
    <row r="127" spans="1:4" ht="15" customHeight="1" x14ac:dyDescent="0.3">
      <c r="A127" t="s">
        <v>2122</v>
      </c>
      <c r="B127">
        <v>1100.9100000000001</v>
      </c>
      <c r="C127">
        <v>4534.28</v>
      </c>
      <c r="D127">
        <v>7774.72</v>
      </c>
    </row>
    <row r="128" spans="1:4" ht="15" customHeight="1" x14ac:dyDescent="0.3">
      <c r="A128" t="s">
        <v>2123</v>
      </c>
      <c r="B128">
        <v>7129.07</v>
      </c>
      <c r="C128">
        <v>2380.0700000000002</v>
      </c>
      <c r="D128">
        <v>7856.32</v>
      </c>
    </row>
    <row r="129" spans="1:4" ht="15" customHeight="1" x14ac:dyDescent="0.3">
      <c r="A129" t="s">
        <v>2124</v>
      </c>
      <c r="B129">
        <v>3421.25</v>
      </c>
      <c r="C129">
        <v>7605.23</v>
      </c>
      <c r="D129">
        <v>7007.14</v>
      </c>
    </row>
    <row r="130" spans="1:4" ht="15" customHeight="1" x14ac:dyDescent="0.3">
      <c r="A130" t="s">
        <v>2125</v>
      </c>
      <c r="B130">
        <v>7536.79</v>
      </c>
      <c r="C130">
        <v>4617.05</v>
      </c>
      <c r="D130">
        <v>5559.96</v>
      </c>
    </row>
    <row r="131" spans="1:4" ht="15" customHeight="1" x14ac:dyDescent="0.3">
      <c r="A131" t="s">
        <v>2126</v>
      </c>
      <c r="B131">
        <v>1712.16</v>
      </c>
      <c r="C131">
        <v>4229.33</v>
      </c>
      <c r="D131">
        <v>6479.11</v>
      </c>
    </row>
    <row r="132" spans="1:4" ht="15" customHeight="1" x14ac:dyDescent="0.3">
      <c r="A132" t="s">
        <v>2127</v>
      </c>
      <c r="B132">
        <v>4009.3</v>
      </c>
      <c r="C132">
        <v>6679.51</v>
      </c>
      <c r="D132">
        <v>4085.11</v>
      </c>
    </row>
    <row r="133" spans="1:4" ht="15" customHeight="1" x14ac:dyDescent="0.3">
      <c r="A133" t="s">
        <v>2128</v>
      </c>
      <c r="B133">
        <v>2847.28</v>
      </c>
      <c r="C133">
        <v>808.56</v>
      </c>
      <c r="D133">
        <v>9495.06</v>
      </c>
    </row>
    <row r="134" spans="1:4" ht="15" customHeight="1" x14ac:dyDescent="0.3">
      <c r="A134" t="s">
        <v>2129</v>
      </c>
      <c r="B134">
        <v>3419.7</v>
      </c>
      <c r="C134">
        <v>3079.5</v>
      </c>
      <c r="D134">
        <v>8075.24</v>
      </c>
    </row>
    <row r="135" spans="1:4" ht="15" customHeight="1" x14ac:dyDescent="0.3">
      <c r="A135" t="s">
        <v>2130</v>
      </c>
      <c r="B135">
        <v>6874.2</v>
      </c>
      <c r="C135">
        <v>3668.15</v>
      </c>
      <c r="D135">
        <v>9109.02</v>
      </c>
    </row>
    <row r="136" spans="1:4" ht="15" customHeight="1" x14ac:dyDescent="0.3">
      <c r="A136" t="s">
        <v>2131</v>
      </c>
      <c r="B136">
        <v>0</v>
      </c>
      <c r="C136">
        <v>403.74</v>
      </c>
      <c r="D136">
        <v>1111.55</v>
      </c>
    </row>
    <row r="138" spans="1:4" ht="15" customHeight="1" x14ac:dyDescent="0.3">
      <c r="A138" s="26" t="s">
        <v>2157</v>
      </c>
    </row>
    <row r="139" spans="1:4" ht="15" customHeight="1" x14ac:dyDescent="0.3">
      <c r="A139" s="27" t="s">
        <v>2158</v>
      </c>
      <c r="B139" s="27" t="s">
        <v>2155</v>
      </c>
    </row>
    <row r="140" spans="1:4" ht="15" customHeight="1" x14ac:dyDescent="0.3">
      <c r="A140" t="s">
        <v>2159</v>
      </c>
      <c r="B140">
        <v>213</v>
      </c>
    </row>
    <row r="141" spans="1:4" ht="15" customHeight="1" x14ac:dyDescent="0.3">
      <c r="A141" t="s">
        <v>2160</v>
      </c>
      <c r="B141">
        <v>210</v>
      </c>
    </row>
    <row r="142" spans="1:4" ht="15" customHeight="1" x14ac:dyDescent="0.3">
      <c r="A142" t="s">
        <v>2161</v>
      </c>
      <c r="B142">
        <v>77</v>
      </c>
    </row>
    <row r="144" spans="1:4" ht="15" customHeight="1" x14ac:dyDescent="0.3">
      <c r="A144" s="26" t="s">
        <v>2162</v>
      </c>
    </row>
    <row r="145" spans="1:3" ht="15" customHeight="1" x14ac:dyDescent="0.3">
      <c r="A145" s="27" t="s">
        <v>2163</v>
      </c>
      <c r="B145" s="27" t="s">
        <v>2152</v>
      </c>
      <c r="C145" s="27" t="s">
        <v>2164</v>
      </c>
    </row>
    <row r="146" spans="1:3" ht="15" customHeight="1" x14ac:dyDescent="0.3">
      <c r="A146" t="s">
        <v>2107</v>
      </c>
      <c r="B146">
        <v>9517.0300000000007</v>
      </c>
      <c r="C146">
        <v>1228.48</v>
      </c>
    </row>
    <row r="147" spans="1:3" ht="15" customHeight="1" x14ac:dyDescent="0.3">
      <c r="A147" t="s">
        <v>2108</v>
      </c>
      <c r="B147">
        <v>12289.19</v>
      </c>
      <c r="C147">
        <v>1349.84</v>
      </c>
    </row>
    <row r="148" spans="1:3" ht="15" customHeight="1" x14ac:dyDescent="0.3">
      <c r="A148" t="s">
        <v>2109</v>
      </c>
      <c r="B148">
        <v>15941.85</v>
      </c>
      <c r="C148">
        <v>2099.62</v>
      </c>
    </row>
    <row r="149" spans="1:3" ht="15" customHeight="1" x14ac:dyDescent="0.3">
      <c r="A149" t="s">
        <v>2110</v>
      </c>
      <c r="B149">
        <v>9818.67</v>
      </c>
      <c r="C149">
        <v>1092.96</v>
      </c>
    </row>
    <row r="150" spans="1:3" ht="15" customHeight="1" x14ac:dyDescent="0.3">
      <c r="A150" t="s">
        <v>2111</v>
      </c>
      <c r="B150">
        <v>14877.74</v>
      </c>
      <c r="C150">
        <v>1453.14</v>
      </c>
    </row>
    <row r="151" spans="1:3" ht="15" customHeight="1" x14ac:dyDescent="0.3">
      <c r="A151" t="s">
        <v>2112</v>
      </c>
      <c r="B151">
        <v>22318.09</v>
      </c>
      <c r="C151">
        <v>2492.17</v>
      </c>
    </row>
    <row r="152" spans="1:3" ht="15" customHeight="1" x14ac:dyDescent="0.3">
      <c r="A152" t="s">
        <v>2113</v>
      </c>
      <c r="B152">
        <v>10607.43</v>
      </c>
      <c r="C152">
        <v>1310.97</v>
      </c>
    </row>
    <row r="153" spans="1:3" ht="15" customHeight="1" x14ac:dyDescent="0.3">
      <c r="A153" t="s">
        <v>2114</v>
      </c>
      <c r="B153">
        <v>14105.17</v>
      </c>
      <c r="C153">
        <v>1845.68</v>
      </c>
    </row>
    <row r="154" spans="1:3" ht="15" customHeight="1" x14ac:dyDescent="0.3">
      <c r="A154" t="s">
        <v>2115</v>
      </c>
      <c r="B154">
        <v>11735.54</v>
      </c>
      <c r="C154">
        <v>1209.3599999999999</v>
      </c>
    </row>
    <row r="155" spans="1:3" ht="15" customHeight="1" x14ac:dyDescent="0.3">
      <c r="A155" t="s">
        <v>2116</v>
      </c>
      <c r="B155">
        <v>13923.29</v>
      </c>
      <c r="C155">
        <v>1099.29</v>
      </c>
    </row>
    <row r="156" spans="1:3" ht="15" customHeight="1" x14ac:dyDescent="0.3">
      <c r="A156" t="s">
        <v>2117</v>
      </c>
      <c r="B156">
        <v>11534.27</v>
      </c>
      <c r="C156">
        <v>1478.96</v>
      </c>
    </row>
    <row r="157" spans="1:3" ht="15" customHeight="1" x14ac:dyDescent="0.3">
      <c r="A157" t="s">
        <v>2118</v>
      </c>
      <c r="B157">
        <v>12470.58</v>
      </c>
      <c r="C157">
        <v>1524.04</v>
      </c>
    </row>
    <row r="158" spans="1:3" ht="15" customHeight="1" x14ac:dyDescent="0.3">
      <c r="A158" t="s">
        <v>2119</v>
      </c>
      <c r="B158">
        <v>15173.46</v>
      </c>
      <c r="C158">
        <v>1305.03</v>
      </c>
    </row>
    <row r="159" spans="1:3" ht="15" customHeight="1" x14ac:dyDescent="0.3">
      <c r="A159" t="s">
        <v>2120</v>
      </c>
      <c r="B159">
        <v>15599.88</v>
      </c>
      <c r="C159">
        <v>1535.36</v>
      </c>
    </row>
    <row r="160" spans="1:3" ht="15" customHeight="1" x14ac:dyDescent="0.3">
      <c r="A160" t="s">
        <v>2121</v>
      </c>
      <c r="B160">
        <v>24892.09</v>
      </c>
      <c r="C160">
        <v>2503.11</v>
      </c>
    </row>
    <row r="161" spans="1:3" ht="15" customHeight="1" x14ac:dyDescent="0.3">
      <c r="A161" t="s">
        <v>2122</v>
      </c>
      <c r="B161">
        <v>13706.23</v>
      </c>
      <c r="C161">
        <v>1166.32</v>
      </c>
    </row>
    <row r="162" spans="1:3" ht="15" customHeight="1" x14ac:dyDescent="0.3">
      <c r="A162" t="s">
        <v>2123</v>
      </c>
      <c r="B162">
        <v>18127.3</v>
      </c>
      <c r="C162">
        <v>1926.84</v>
      </c>
    </row>
    <row r="163" spans="1:3" ht="15" customHeight="1" x14ac:dyDescent="0.3">
      <c r="A163" t="s">
        <v>2124</v>
      </c>
      <c r="B163">
        <v>18190.16</v>
      </c>
      <c r="C163">
        <v>1417.54</v>
      </c>
    </row>
    <row r="164" spans="1:3" ht="15" customHeight="1" x14ac:dyDescent="0.3">
      <c r="A164" t="s">
        <v>2125</v>
      </c>
      <c r="B164">
        <v>18769.310000000001</v>
      </c>
      <c r="C164">
        <v>2241.5100000000002</v>
      </c>
    </row>
    <row r="165" spans="1:3" ht="15" customHeight="1" x14ac:dyDescent="0.3">
      <c r="A165" t="s">
        <v>2126</v>
      </c>
      <c r="B165">
        <v>13491.06</v>
      </c>
      <c r="C165">
        <v>2203.46</v>
      </c>
    </row>
    <row r="166" spans="1:3" ht="15" customHeight="1" x14ac:dyDescent="0.3">
      <c r="A166" t="s">
        <v>2127</v>
      </c>
      <c r="B166">
        <v>15292.36</v>
      </c>
      <c r="C166">
        <v>1822.43</v>
      </c>
    </row>
    <row r="167" spans="1:3" ht="15" customHeight="1" x14ac:dyDescent="0.3">
      <c r="A167" t="s">
        <v>2128</v>
      </c>
      <c r="B167">
        <v>13558.18</v>
      </c>
      <c r="C167">
        <v>1289.27</v>
      </c>
    </row>
    <row r="168" spans="1:3" ht="15" customHeight="1" x14ac:dyDescent="0.3">
      <c r="A168" t="s">
        <v>2129</v>
      </c>
      <c r="B168">
        <v>15400.09</v>
      </c>
      <c r="C168">
        <v>1712.66</v>
      </c>
    </row>
    <row r="169" spans="1:3" ht="15" customHeight="1" x14ac:dyDescent="0.3">
      <c r="A169" t="s">
        <v>2130</v>
      </c>
      <c r="B169">
        <v>21297.48</v>
      </c>
      <c r="C169">
        <v>3057.11</v>
      </c>
    </row>
    <row r="170" spans="1:3" ht="15" customHeight="1" x14ac:dyDescent="0.3">
      <c r="A170" t="s">
        <v>2131</v>
      </c>
      <c r="B170">
        <v>1653.04</v>
      </c>
      <c r="C170">
        <v>322.75</v>
      </c>
    </row>
    <row r="172" spans="1:3" ht="15" customHeight="1" x14ac:dyDescent="0.3">
      <c r="A172" s="26" t="s">
        <v>2165</v>
      </c>
    </row>
    <row r="173" spans="1:3" ht="15" customHeight="1" x14ac:dyDescent="0.3">
      <c r="A173" s="27" t="s">
        <v>2166</v>
      </c>
      <c r="B173" s="27" t="s">
        <v>2155</v>
      </c>
    </row>
    <row r="174" spans="1:3" ht="15" customHeight="1" x14ac:dyDescent="0.3">
      <c r="A174" t="s">
        <v>2167</v>
      </c>
      <c r="B174">
        <v>138</v>
      </c>
    </row>
    <row r="175" spans="1:3" ht="15" customHeight="1" x14ac:dyDescent="0.3">
      <c r="A175" t="s">
        <v>2168</v>
      </c>
      <c r="B175">
        <v>132</v>
      </c>
    </row>
    <row r="176" spans="1:3" ht="15" customHeight="1" x14ac:dyDescent="0.3">
      <c r="A176" t="s">
        <v>2169</v>
      </c>
      <c r="B176">
        <v>118</v>
      </c>
    </row>
    <row r="177" spans="1:2" ht="15" customHeight="1" x14ac:dyDescent="0.3">
      <c r="A177" t="s">
        <v>2170</v>
      </c>
      <c r="B177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Project_Questions</vt:lpstr>
      <vt:lpstr>KPI_Dashboard</vt:lpstr>
      <vt:lpstr>Visual_Analysis</vt:lpstr>
      <vt:lpstr>Pivot_MonthGender</vt:lpstr>
      <vt:lpstr>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Abhishek Jain</cp:lastModifiedBy>
  <cp:revision>3</cp:revision>
  <dcterms:created xsi:type="dcterms:W3CDTF">2025-02-08T05:14:48Z</dcterms:created>
  <dcterms:modified xsi:type="dcterms:W3CDTF">2026-05-10T11:22:23Z</dcterms:modified>
  <dc:language>en-US</dc:language>
</cp:coreProperties>
</file>